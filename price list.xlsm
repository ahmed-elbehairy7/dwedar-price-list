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wedar\excel\price-list\"/>
    </mc:Choice>
  </mc:AlternateContent>
  <xr:revisionPtr revIDLastSave="0" documentId="13_ncr:1_{02FDA2F0-6A88-4DD3-B4F4-2550BA01A156}" xr6:coauthVersionLast="47" xr6:coauthVersionMax="47" xr10:uidLastSave="{00000000-0000-0000-0000-000000000000}"/>
  <bookViews>
    <workbookView xWindow="-108" yWindow="-108" windowWidth="23256" windowHeight="12456" activeTab="1" xr2:uid="{CAAE0573-70AC-4458-85FB-7968AE9066D5}"/>
  </bookViews>
  <sheets>
    <sheet name="إعدادات" sheetId="1" r:id="rId1"/>
    <sheet name="مطابخ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2" l="1"/>
  <c r="H20" i="2"/>
  <c r="H19" i="2"/>
  <c r="H18" i="2"/>
  <c r="H17" i="2"/>
  <c r="H16" i="2"/>
  <c r="H15" i="2"/>
  <c r="H14" i="2"/>
  <c r="H13" i="2"/>
  <c r="H12" i="2"/>
  <c r="H11" i="2"/>
  <c r="H8" i="2"/>
  <c r="H7" i="2"/>
  <c r="H29" i="2" a="1"/>
  <c r="H29" i="2" s="1"/>
  <c r="D6" i="2" a="1"/>
  <c r="H6" i="2" l="1"/>
  <c r="D6" i="2"/>
  <c r="D7" i="2" a="1"/>
  <c r="D7" i="2"/>
  <c r="D8" i="2" a="1"/>
  <c r="D8" i="2"/>
  <c r="D9" i="2" a="1"/>
  <c r="D9" i="2"/>
  <c r="D10" i="2" a="1"/>
  <c r="D10" i="2"/>
  <c r="D11" i="2" a="1"/>
  <c r="D11" i="2"/>
  <c r="D12" i="2" a="1"/>
  <c r="D12" i="2"/>
  <c r="D13" i="2" a="1"/>
  <c r="D13" i="2"/>
  <c r="D14" i="2" a="1"/>
  <c r="D14" i="2"/>
  <c r="D15" i="2" a="1"/>
  <c r="D15" i="2"/>
  <c r="D16" i="2" a="1"/>
  <c r="D16" i="2"/>
  <c r="D17" i="2" a="1"/>
  <c r="D17" i="2"/>
  <c r="D18" i="2" a="1"/>
  <c r="D18" i="2"/>
  <c r="D21" i="2" a="1"/>
  <c r="I23" i="2" a="1"/>
  <c r="I19" i="2" a="1"/>
  <c r="I22" i="2" a="1"/>
  <c r="I20" i="2" a="1"/>
  <c r="F13" i="2" a="1"/>
  <c r="F11" i="2" a="1"/>
  <c r="F21" i="2" a="1"/>
  <c r="F8" i="2" a="1"/>
  <c r="F19" i="2" a="1"/>
  <c r="F15" i="2" a="1"/>
  <c r="F12" i="2" a="1"/>
  <c r="F9" i="2" a="1"/>
  <c r="F16" i="2" a="1"/>
  <c r="F18" i="2" a="1"/>
  <c r="F17" i="2" a="1"/>
  <c r="F20" i="2" a="1"/>
  <c r="E42" i="2" a="1"/>
  <c r="F10" i="2" a="1"/>
  <c r="F14" i="2" a="1"/>
  <c r="D21" i="2" l="1"/>
  <c r="E7" i="2"/>
  <c r="E6" i="2"/>
  <c r="H9" i="2"/>
  <c r="H10" i="2"/>
  <c r="I20" i="2"/>
  <c r="I22" i="2"/>
  <c r="I19" i="2"/>
  <c r="I23" i="2"/>
  <c r="F16" i="2"/>
  <c r="F12" i="2"/>
  <c r="G12" i="2" s="1"/>
  <c r="F19" i="2"/>
  <c r="F13" i="2"/>
  <c r="F11" i="2"/>
  <c r="G11" i="2" s="1"/>
  <c r="F14" i="2"/>
  <c r="G14" i="2" s="1"/>
  <c r="F10" i="2"/>
  <c r="G10" i="2" s="1"/>
  <c r="F20" i="2"/>
  <c r="F17" i="2"/>
  <c r="G17" i="2" s="1"/>
  <c r="F18" i="2"/>
  <c r="G18" i="2" s="1"/>
  <c r="F9" i="2"/>
  <c r="G9" i="2" s="1"/>
  <c r="F15" i="2"/>
  <c r="G15" i="2" s="1"/>
  <c r="F8" i="2"/>
  <c r="G8" i="2" s="1"/>
  <c r="F21" i="2"/>
  <c r="G21" i="2" s="1"/>
  <c r="E42" i="2"/>
  <c r="B27" i="2" a="1"/>
  <c r="B27" i="2" s="1"/>
  <c r="AB21" i="2"/>
  <c r="X21" i="2"/>
  <c r="Y21" i="2" s="1"/>
  <c r="V21" i="2"/>
  <c r="T21" i="2"/>
  <c r="U21" i="2" s="1"/>
  <c r="Q21" i="2"/>
  <c r="R21" i="2" s="1"/>
  <c r="N21" i="2"/>
  <c r="O21" i="2" s="1"/>
  <c r="K21" i="2"/>
  <c r="L21" i="2" s="1"/>
  <c r="X20" i="2"/>
  <c r="Y20" i="2" s="1"/>
  <c r="V20" i="2"/>
  <c r="T20" i="2"/>
  <c r="U20" i="2" s="1"/>
  <c r="Q20" i="2"/>
  <c r="R20" i="2" s="1"/>
  <c r="N20" i="2"/>
  <c r="O20" i="2" s="1"/>
  <c r="K20" i="2"/>
  <c r="L20" i="2" s="1"/>
  <c r="G20" i="2"/>
  <c r="X19" i="2"/>
  <c r="Y19" i="2" s="1"/>
  <c r="V19" i="2"/>
  <c r="T19" i="2"/>
  <c r="U19" i="2" s="1"/>
  <c r="Q19" i="2"/>
  <c r="R19" i="2" s="1"/>
  <c r="N19" i="2"/>
  <c r="O19" i="2" s="1"/>
  <c r="K19" i="2"/>
  <c r="L19" i="2" s="1"/>
  <c r="G19" i="2"/>
  <c r="AB18" i="2"/>
  <c r="X18" i="2"/>
  <c r="Y18" i="2" s="1"/>
  <c r="V18" i="2"/>
  <c r="T18" i="2"/>
  <c r="U18" i="2" s="1"/>
  <c r="R18" i="2"/>
  <c r="Q18" i="2"/>
  <c r="O18" i="2"/>
  <c r="N18" i="2"/>
  <c r="K18" i="2"/>
  <c r="L18" i="2" s="1"/>
  <c r="AB17" i="2"/>
  <c r="AB13" i="2" s="1"/>
  <c r="X17" i="2"/>
  <c r="Y17" i="2" s="1"/>
  <c r="V17" i="2"/>
  <c r="U17" i="2"/>
  <c r="T17" i="2"/>
  <c r="Q17" i="2"/>
  <c r="R17" i="2" s="1"/>
  <c r="N17" i="2"/>
  <c r="O17" i="2" s="1"/>
  <c r="K17" i="2"/>
  <c r="L17" i="2" s="1"/>
  <c r="Y16" i="2"/>
  <c r="X16" i="2"/>
  <c r="V16" i="2"/>
  <c r="U16" i="2"/>
  <c r="T16" i="2"/>
  <c r="R16" i="2"/>
  <c r="Q16" i="2"/>
  <c r="N16" i="2"/>
  <c r="O16" i="2" s="1"/>
  <c r="L16" i="2"/>
  <c r="K16" i="2"/>
  <c r="G16" i="2"/>
  <c r="X15" i="2"/>
  <c r="Y15" i="2" s="1"/>
  <c r="V15" i="2"/>
  <c r="T15" i="2"/>
  <c r="U15" i="2" s="1"/>
  <c r="Q15" i="2"/>
  <c r="R15" i="2" s="1"/>
  <c r="N15" i="2"/>
  <c r="O15" i="2" s="1"/>
  <c r="K15" i="2"/>
  <c r="L15" i="2" s="1"/>
  <c r="AB14" i="2"/>
  <c r="X14" i="2"/>
  <c r="Y14" i="2" s="1"/>
  <c r="V14" i="2"/>
  <c r="U14" i="2"/>
  <c r="T14" i="2"/>
  <c r="Q14" i="2"/>
  <c r="R14" i="2" s="1"/>
  <c r="O14" i="2"/>
  <c r="N14" i="2"/>
  <c r="L14" i="2"/>
  <c r="K14" i="2"/>
  <c r="X13" i="2"/>
  <c r="Y13" i="2" s="1"/>
  <c r="V13" i="2"/>
  <c r="U13" i="2"/>
  <c r="T13" i="2"/>
  <c r="Q13" i="2"/>
  <c r="R13" i="2" s="1"/>
  <c r="O13" i="2"/>
  <c r="N13" i="2"/>
  <c r="L13" i="2"/>
  <c r="K13" i="2"/>
  <c r="G13" i="2"/>
  <c r="AB12" i="2"/>
  <c r="AB8" i="2" s="1"/>
  <c r="AB16" i="2" s="1"/>
  <c r="X12" i="2"/>
  <c r="Y12" i="2" s="1"/>
  <c r="V12" i="2"/>
  <c r="U12" i="2"/>
  <c r="T12" i="2"/>
  <c r="Q12" i="2"/>
  <c r="R12" i="2" s="1"/>
  <c r="O12" i="2"/>
  <c r="N12" i="2"/>
  <c r="K12" i="2"/>
  <c r="L12" i="2" s="1"/>
  <c r="AB11" i="2"/>
  <c r="AB20" i="2" s="1"/>
  <c r="X11" i="2"/>
  <c r="Y11" i="2" s="1"/>
  <c r="V11" i="2"/>
  <c r="T11" i="2"/>
  <c r="U11" i="2" s="1"/>
  <c r="Q11" i="2"/>
  <c r="R11" i="2" s="1"/>
  <c r="N11" i="2"/>
  <c r="O11" i="2" s="1"/>
  <c r="L11" i="2"/>
  <c r="K11" i="2"/>
  <c r="AB10" i="2"/>
  <c r="AB19" i="2" s="1"/>
  <c r="X10" i="2"/>
  <c r="Y10" i="2" s="1"/>
  <c r="V10" i="2"/>
  <c r="U10" i="2"/>
  <c r="T10" i="2"/>
  <c r="R10" i="2"/>
  <c r="Q10" i="2"/>
  <c r="N10" i="2"/>
  <c r="O10" i="2" s="1"/>
  <c r="L10" i="2"/>
  <c r="K10" i="2"/>
  <c r="Y9" i="2"/>
  <c r="X9" i="2"/>
  <c r="V9" i="2"/>
  <c r="T9" i="2"/>
  <c r="U9" i="2" s="1"/>
  <c r="Q9" i="2"/>
  <c r="R9" i="2" s="1"/>
  <c r="N9" i="2"/>
  <c r="O9" i="2" s="1"/>
  <c r="L9" i="2"/>
  <c r="K9" i="2"/>
  <c r="X8" i="2"/>
  <c r="Y8" i="2" s="1"/>
  <c r="V8" i="2"/>
  <c r="T8" i="2"/>
  <c r="U8" i="2" s="1"/>
  <c r="Q8" i="2"/>
  <c r="R8" i="2" s="1"/>
  <c r="N8" i="2"/>
  <c r="O8" i="2" s="1"/>
  <c r="K8" i="2"/>
  <c r="L8" i="2" s="1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Y7" i="2"/>
  <c r="X7" i="2"/>
  <c r="V7" i="2"/>
  <c r="T7" i="2"/>
  <c r="U7" i="2" s="1"/>
  <c r="Q7" i="2"/>
  <c r="R7" i="2" s="1"/>
  <c r="N7" i="2"/>
  <c r="O7" i="2" s="1"/>
  <c r="K7" i="2"/>
  <c r="L7" i="2" s="1"/>
  <c r="X6" i="2"/>
  <c r="Y6" i="2" s="1"/>
  <c r="V6" i="2"/>
  <c r="U6" i="2"/>
  <c r="T6" i="2"/>
  <c r="R6" i="2"/>
  <c r="Q6" i="2"/>
  <c r="N6" i="2"/>
  <c r="O6" i="2" s="1"/>
  <c r="L6" i="2"/>
  <c r="K6" i="2"/>
  <c r="J65" i="1"/>
  <c r="L65" i="1" s="1"/>
  <c r="J64" i="1"/>
  <c r="L64" i="1" s="1"/>
  <c r="J63" i="1"/>
  <c r="L63" i="1" s="1"/>
  <c r="J62" i="1"/>
  <c r="L62" i="1" s="1"/>
  <c r="J59" i="1"/>
  <c r="L59" i="1" s="1"/>
  <c r="J57" i="1"/>
  <c r="L57" i="1" s="1"/>
  <c r="J56" i="1"/>
  <c r="L56" i="1" s="1"/>
  <c r="J54" i="1"/>
  <c r="L54" i="1" s="1"/>
  <c r="J53" i="1"/>
  <c r="L53" i="1" s="1"/>
  <c r="J52" i="1"/>
  <c r="L52" i="1" s="1"/>
  <c r="J51" i="1"/>
  <c r="L51" i="1" s="1"/>
  <c r="J47" i="1"/>
  <c r="L47" i="1" s="1"/>
  <c r="J41" i="1"/>
  <c r="L41" i="1" s="1"/>
  <c r="J38" i="1"/>
  <c r="L38" i="1" s="1"/>
  <c r="J37" i="1"/>
  <c r="L37" i="1" s="1"/>
  <c r="J36" i="1"/>
  <c r="L36" i="1" s="1"/>
  <c r="J35" i="1"/>
  <c r="L35" i="1" s="1"/>
  <c r="J34" i="1"/>
  <c r="L34" i="1" s="1"/>
  <c r="J33" i="1"/>
  <c r="L33" i="1" s="1"/>
  <c r="J32" i="1"/>
  <c r="L32" i="1" s="1"/>
  <c r="J31" i="1"/>
  <c r="L31" i="1" s="1"/>
  <c r="J30" i="1"/>
  <c r="L30" i="1" s="1"/>
  <c r="J29" i="1"/>
  <c r="L29" i="1" s="1"/>
  <c r="J28" i="1"/>
  <c r="L28" i="1" s="1"/>
  <c r="J27" i="1"/>
  <c r="L27" i="1" s="1"/>
  <c r="J26" i="1"/>
  <c r="J25" i="1"/>
  <c r="L25" i="1" s="1"/>
  <c r="J24" i="1"/>
  <c r="L24" i="1" s="1"/>
  <c r="J23" i="1"/>
  <c r="L23" i="1" s="1"/>
  <c r="J22" i="1"/>
  <c r="L22" i="1" s="1"/>
  <c r="I6" i="2" a="1"/>
  <c r="F7" i="2" a="1"/>
  <c r="F6" i="2" a="1"/>
  <c r="I16" i="2" a="1"/>
  <c r="I17" i="2" a="1"/>
  <c r="I18" i="2" a="1"/>
  <c r="I13" i="2" a="1"/>
  <c r="I21" i="2" a="1"/>
  <c r="I12" i="2" a="1"/>
  <c r="I11" i="2" a="1"/>
  <c r="I7" i="2" a="1"/>
  <c r="I15" i="2" a="1"/>
  <c r="I14" i="2" a="1"/>
  <c r="I8" i="2" a="1"/>
  <c r="I9" i="2" a="1"/>
  <c r="I10" i="2" a="1"/>
  <c r="I6" i="2" l="1"/>
  <c r="F7" i="2"/>
  <c r="G7" i="2" s="1"/>
  <c r="F6" i="2"/>
  <c r="G6" i="2" s="1"/>
  <c r="I10" i="2"/>
  <c r="AC10" i="2" s="1"/>
  <c r="I9" i="2"/>
  <c r="AC9" i="2" s="1"/>
  <c r="I8" i="2"/>
  <c r="AC8" i="2" s="1"/>
  <c r="AK8" i="2" s="1"/>
  <c r="I14" i="2"/>
  <c r="AC14" i="2" s="1"/>
  <c r="AE14" i="2" s="1"/>
  <c r="I15" i="2"/>
  <c r="I7" i="2"/>
  <c r="I11" i="2"/>
  <c r="AC11" i="2" s="1"/>
  <c r="I12" i="2"/>
  <c r="AC12" i="2" s="1"/>
  <c r="I21" i="2"/>
  <c r="AC21" i="2" s="1"/>
  <c r="I13" i="2"/>
  <c r="AC13" i="2" s="1"/>
  <c r="I18" i="2"/>
  <c r="AC18" i="2" s="1"/>
  <c r="I17" i="2"/>
  <c r="AC17" i="2" s="1"/>
  <c r="I16" i="2"/>
  <c r="AC16" i="2" s="1"/>
  <c r="AC19" i="2"/>
  <c r="AE19" i="2" s="1"/>
  <c r="A21" i="2"/>
  <c r="A20" i="2"/>
  <c r="AC20" i="2"/>
  <c r="AB6" i="2"/>
  <c r="AB7" i="2"/>
  <c r="AB15" i="2" s="1"/>
  <c r="AC15" i="2" l="1"/>
  <c r="AK15" i="2" s="1"/>
  <c r="AC6" i="2"/>
  <c r="AE6" i="2" s="1"/>
  <c r="AK17" i="2"/>
  <c r="AE17" i="2"/>
  <c r="AD17" i="2" s="1"/>
  <c r="AK19" i="2"/>
  <c r="AE8" i="2"/>
  <c r="AG8" i="2" s="1"/>
  <c r="AH8" i="2" s="1"/>
  <c r="AK14" i="2"/>
  <c r="AK12" i="2"/>
  <c r="AE12" i="2"/>
  <c r="AK11" i="2"/>
  <c r="AE11" i="2"/>
  <c r="AE10" i="2"/>
  <c r="AK10" i="2"/>
  <c r="AC7" i="2"/>
  <c r="AK21" i="2"/>
  <c r="AE21" i="2"/>
  <c r="AD14" i="2"/>
  <c r="AG14" i="2"/>
  <c r="AH14" i="2" s="1"/>
  <c r="AK9" i="2"/>
  <c r="AE9" i="2"/>
  <c r="AE16" i="2"/>
  <c r="AK16" i="2"/>
  <c r="AG19" i="2"/>
  <c r="AH19" i="2" s="1"/>
  <c r="AD19" i="2"/>
  <c r="AE20" i="2"/>
  <c r="AK20" i="2"/>
  <c r="AE13" i="2"/>
  <c r="AK13" i="2"/>
  <c r="AK18" i="2"/>
  <c r="AE18" i="2"/>
  <c r="AE15" i="2" l="1"/>
  <c r="AG15" i="2" s="1"/>
  <c r="AH15" i="2" s="1"/>
  <c r="AG17" i="2"/>
  <c r="AH17" i="2" s="1"/>
  <c r="AI17" i="2" s="1"/>
  <c r="AN17" i="2" s="1"/>
  <c r="AK6" i="2"/>
  <c r="AD8" i="2"/>
  <c r="AD11" i="2"/>
  <c r="AG11" i="2"/>
  <c r="AH11" i="2" s="1"/>
  <c r="AD20" i="2"/>
  <c r="AG20" i="2"/>
  <c r="AH20" i="2" s="1"/>
  <c r="AI19" i="2"/>
  <c r="AN19" i="2" s="1"/>
  <c r="AJ19" i="2"/>
  <c r="AO19" i="2" s="1"/>
  <c r="AM19" i="2"/>
  <c r="AG10" i="2"/>
  <c r="AH10" i="2" s="1"/>
  <c r="AD10" i="2"/>
  <c r="AM8" i="2"/>
  <c r="AJ8" i="2"/>
  <c r="AO8" i="2" s="1"/>
  <c r="AI8" i="2"/>
  <c r="AN8" i="2" s="1"/>
  <c r="AG16" i="2"/>
  <c r="AH16" i="2" s="1"/>
  <c r="AD16" i="2"/>
  <c r="AE7" i="2"/>
  <c r="AK7" i="2"/>
  <c r="AG18" i="2"/>
  <c r="AH18" i="2" s="1"/>
  <c r="AD18" i="2"/>
  <c r="AG9" i="2"/>
  <c r="AH9" i="2" s="1"/>
  <c r="AD9" i="2"/>
  <c r="AG12" i="2"/>
  <c r="AH12" i="2" s="1"/>
  <c r="AD12" i="2"/>
  <c r="AM14" i="2"/>
  <c r="AJ14" i="2"/>
  <c r="AO14" i="2" s="1"/>
  <c r="AI14" i="2"/>
  <c r="AN14" i="2" s="1"/>
  <c r="AG13" i="2"/>
  <c r="AH13" i="2" s="1"/>
  <c r="AD13" i="2"/>
  <c r="AG21" i="2"/>
  <c r="AH21" i="2" s="1"/>
  <c r="AD21" i="2"/>
  <c r="AG6" i="2"/>
  <c r="AH6" i="2" s="1"/>
  <c r="AD6" i="2"/>
  <c r="AM17" i="2" l="1"/>
  <c r="AJ17" i="2"/>
  <c r="AO17" i="2" s="1"/>
  <c r="AD15" i="2"/>
  <c r="AM20" i="2"/>
  <c r="AJ20" i="2"/>
  <c r="AO20" i="2" s="1"/>
  <c r="AI20" i="2"/>
  <c r="AN20" i="2" s="1"/>
  <c r="AM11" i="2"/>
  <c r="AJ11" i="2"/>
  <c r="AO11" i="2" s="1"/>
  <c r="AI11" i="2"/>
  <c r="AN11" i="2" s="1"/>
  <c r="AM16" i="2"/>
  <c r="AJ16" i="2"/>
  <c r="AO16" i="2" s="1"/>
  <c r="AI16" i="2"/>
  <c r="AN16" i="2" s="1"/>
  <c r="AM15" i="2"/>
  <c r="AJ15" i="2"/>
  <c r="AO15" i="2" s="1"/>
  <c r="AI15" i="2"/>
  <c r="AN15" i="2" s="1"/>
  <c r="AM12" i="2"/>
  <c r="AJ12" i="2"/>
  <c r="AO12" i="2" s="1"/>
  <c r="AI12" i="2"/>
  <c r="AN12" i="2" s="1"/>
  <c r="AM9" i="2"/>
  <c r="AI9" i="2"/>
  <c r="AN9" i="2" s="1"/>
  <c r="AJ9" i="2"/>
  <c r="AO9" i="2" s="1"/>
  <c r="AJ6" i="2"/>
  <c r="AO6" i="2" s="1"/>
  <c r="AI6" i="2"/>
  <c r="AN6" i="2" s="1"/>
  <c r="AM6" i="2"/>
  <c r="AM18" i="2"/>
  <c r="AJ18" i="2"/>
  <c r="AO18" i="2" s="1"/>
  <c r="AI18" i="2"/>
  <c r="AN18" i="2" s="1"/>
  <c r="AM21" i="2"/>
  <c r="AJ21" i="2"/>
  <c r="AO21" i="2" s="1"/>
  <c r="AI21" i="2"/>
  <c r="AN21" i="2" s="1"/>
  <c r="AI10" i="2"/>
  <c r="AN10" i="2" s="1"/>
  <c r="AM10" i="2"/>
  <c r="AJ10" i="2"/>
  <c r="AO10" i="2" s="1"/>
  <c r="AI13" i="2"/>
  <c r="AN13" i="2" s="1"/>
  <c r="AM13" i="2"/>
  <c r="AJ13" i="2"/>
  <c r="AO13" i="2" s="1"/>
  <c r="AG7" i="2"/>
  <c r="AH7" i="2" s="1"/>
  <c r="AD7" i="2"/>
  <c r="AM7" i="2" l="1"/>
  <c r="AJ7" i="2"/>
  <c r="AO7" i="2" s="1"/>
  <c r="AI7" i="2"/>
  <c r="AN7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<sst xmlns="http://schemas.openxmlformats.org/spreadsheetml/2006/main" count="170" uniqueCount="98">
  <si>
    <t>مصنعية</t>
  </si>
  <si>
    <t>اكسسوار + غراء و مسمار + مجرى</t>
  </si>
  <si>
    <t>مفصلة</t>
  </si>
  <si>
    <t>مقبض</t>
  </si>
  <si>
    <t>مجرى درج</t>
  </si>
  <si>
    <t>شريط pvc لامع</t>
  </si>
  <si>
    <t>م ط</t>
  </si>
  <si>
    <t>شريط pvc</t>
  </si>
  <si>
    <t>ارجل</t>
  </si>
  <si>
    <t>اسم</t>
  </si>
  <si>
    <t>سعر</t>
  </si>
  <si>
    <t>ملاحظات</t>
  </si>
  <si>
    <t xml:space="preserve">كونتر ميلامين </t>
  </si>
  <si>
    <t>18م</t>
  </si>
  <si>
    <t>كونتر ميلامين ساندويتش</t>
  </si>
  <si>
    <t>كونتر الجسم HPL أبيض</t>
  </si>
  <si>
    <t xml:space="preserve">ظهر </t>
  </si>
  <si>
    <t>5م</t>
  </si>
  <si>
    <t xml:space="preserve"> مطبخ كونتر HPL</t>
  </si>
  <si>
    <t>مطبخ  PVC</t>
  </si>
  <si>
    <t>مطبخ Polylac تركى</t>
  </si>
  <si>
    <t>مطبخ Polylac هندى</t>
  </si>
  <si>
    <t>مطبخ Polylac ديجيتال</t>
  </si>
  <si>
    <t>مطبخ UV Lac</t>
  </si>
  <si>
    <t>Gloss Max</t>
  </si>
  <si>
    <t>Pet Ply</t>
  </si>
  <si>
    <t>Poly Plus</t>
  </si>
  <si>
    <t>Poly Back</t>
  </si>
  <si>
    <t>مطبخ أكلريك</t>
  </si>
  <si>
    <t>دلفة موسكى</t>
  </si>
  <si>
    <t>دلفة</t>
  </si>
  <si>
    <t>دلفة ارو</t>
  </si>
  <si>
    <t>دهان دوكو</t>
  </si>
  <si>
    <t>م2</t>
  </si>
  <si>
    <t>دلف زجاج</t>
  </si>
  <si>
    <t>كلادز</t>
  </si>
  <si>
    <t>PVC FOAM BOARD</t>
  </si>
  <si>
    <t>UNI BOARD</t>
  </si>
  <si>
    <t>8م</t>
  </si>
  <si>
    <t>12م</t>
  </si>
  <si>
    <t>AQUA -  PVC</t>
  </si>
  <si>
    <t xml:space="preserve">AQUA -  PVCرخامى </t>
  </si>
  <si>
    <t>AQUA -PET-  PVC</t>
  </si>
  <si>
    <t>POLY PRINT</t>
  </si>
  <si>
    <t>POLY PRINT لامع</t>
  </si>
  <si>
    <t>POLY PRINT مط</t>
  </si>
  <si>
    <t xml:space="preserve">POLY PRINT لامع  رخامى </t>
  </si>
  <si>
    <t xml:space="preserve">POLY PRINT مط  رخامى </t>
  </si>
  <si>
    <t>توصيف</t>
  </si>
  <si>
    <t>عرض</t>
  </si>
  <si>
    <t>طول</t>
  </si>
  <si>
    <t>سعر اللوح</t>
  </si>
  <si>
    <t>مساحة</t>
  </si>
  <si>
    <t>..</t>
  </si>
  <si>
    <t>....</t>
  </si>
  <si>
    <t>مساحة على ....</t>
  </si>
  <si>
    <t>أسعار  المطابخ</t>
  </si>
  <si>
    <t>الورشة</t>
  </si>
  <si>
    <t>المعرض م2</t>
  </si>
  <si>
    <t>سعر البيع 10%</t>
  </si>
  <si>
    <t>سعر البيع20%</t>
  </si>
  <si>
    <t>الكمية باللوح</t>
  </si>
  <si>
    <t>العلب</t>
  </si>
  <si>
    <t>دلف</t>
  </si>
  <si>
    <t>ظهر</t>
  </si>
  <si>
    <t>شريط</t>
  </si>
  <si>
    <t>دهانات</t>
  </si>
  <si>
    <t xml:space="preserve"> تغليف</t>
  </si>
  <si>
    <t>اجمالى التكلفة</t>
  </si>
  <si>
    <t>دخل الورشة</t>
  </si>
  <si>
    <t>نسبة المعرض</t>
  </si>
  <si>
    <t>دخل المعرض</t>
  </si>
  <si>
    <t>سعر  المتر</t>
  </si>
  <si>
    <t>سعر البيع</t>
  </si>
  <si>
    <t xml:space="preserve"> العلب</t>
  </si>
  <si>
    <t>خامة</t>
  </si>
  <si>
    <t>تكلفة</t>
  </si>
  <si>
    <t xml:space="preserve">سعر </t>
  </si>
  <si>
    <t>كمية</t>
  </si>
  <si>
    <t>يومية</t>
  </si>
  <si>
    <t>سعر اليومية</t>
  </si>
  <si>
    <t>اجمالى يوميات</t>
  </si>
  <si>
    <t>استر</t>
  </si>
  <si>
    <t>دوكو</t>
  </si>
  <si>
    <t>اسعار تمارا</t>
  </si>
  <si>
    <t>فوم بورد</t>
  </si>
  <si>
    <t>كونتر ميلامين ساندويتش/الجسم HPL</t>
  </si>
  <si>
    <t>كونتر HPL</t>
  </si>
  <si>
    <t>مطبخ UV Lac YILDIS</t>
  </si>
  <si>
    <t>مطبخ Pet ply</t>
  </si>
  <si>
    <t>مطبخ دوكو</t>
  </si>
  <si>
    <t>مطبخ أرو</t>
  </si>
  <si>
    <t>كونتر ميلامين تكتشر</t>
  </si>
  <si>
    <t>مطبخ UV Lac 2</t>
  </si>
  <si>
    <t>فوم بورد 4.5</t>
  </si>
  <si>
    <t>فوم بورد 8م</t>
  </si>
  <si>
    <t>فوم بورد 12م</t>
  </si>
  <si>
    <t>فوم بورد 18م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</si>
</sst>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15" x14ac:knownFonts="1">
    <font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20"/>
      <color theme="1"/>
      <name val="Arial"/>
      <family val="2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6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16"/>
      <color rgb="FF4F6128"/>
      <name val="Arial"/>
      <family val="2"/>
    </font>
    <font>
      <sz val="16"/>
      <color rgb="FF4F6128"/>
      <name val="Arial"/>
      <family val="2"/>
    </font>
    <font>
      <b/>
      <sz val="24"/>
      <name val="Arial"/>
      <family val="2"/>
    </font>
    <font>
      <sz val="18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6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0" fontId="9" fillId="2" borderId="24" xfId="0" applyFont="1" applyFill="1" applyBorder="1" applyAlignment="1">
      <alignment horizontal="center" vertical="center" wrapText="1"/>
    </xf>
    <xf numFmtId="0" fontId="9" fillId="4" borderId="36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6" fillId="6" borderId="17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12" fillId="5" borderId="5" xfId="0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2" fontId="6" fillId="4" borderId="1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164" fontId="1" fillId="6" borderId="2" xfId="0" applyNumberFormat="1" applyFont="1" applyFill="1" applyBorder="1" applyAlignment="1">
      <alignment horizontal="center" vertical="center" wrapText="1"/>
    </xf>
    <xf numFmtId="164" fontId="11" fillId="6" borderId="42" xfId="0" applyNumberFormat="1" applyFont="1" applyFill="1" applyBorder="1" applyAlignment="1">
      <alignment horizontal="center" vertical="center" wrapText="1"/>
    </xf>
    <xf numFmtId="164" fontId="1" fillId="6" borderId="12" xfId="0" applyNumberFormat="1" applyFont="1" applyFill="1" applyBorder="1" applyAlignment="1">
      <alignment horizontal="center" vertical="center" wrapText="1"/>
    </xf>
    <xf numFmtId="9" fontId="6" fillId="5" borderId="11" xfId="0" applyNumberFormat="1" applyFont="1" applyFill="1" applyBorder="1" applyAlignment="1">
      <alignment horizontal="center" vertical="center" wrapText="1"/>
    </xf>
    <xf numFmtId="1" fontId="12" fillId="5" borderId="1" xfId="0" applyNumberFormat="1" applyFont="1" applyFill="1" applyBorder="1" applyAlignment="1">
      <alignment horizontal="center" vertical="center" wrapText="1"/>
    </xf>
    <xf numFmtId="164" fontId="13" fillId="5" borderId="12" xfId="0" applyNumberFormat="1" applyFont="1" applyFill="1" applyBorder="1" applyAlignment="1">
      <alignment horizontal="center" vertical="center" wrapText="1"/>
    </xf>
    <xf numFmtId="164" fontId="13" fillId="4" borderId="39" xfId="0" applyNumberFormat="1" applyFont="1" applyFill="1" applyBorder="1" applyAlignment="1">
      <alignment horizontal="center" vertical="center" wrapText="1"/>
    </xf>
    <xf numFmtId="164" fontId="13" fillId="4" borderId="12" xfId="0" applyNumberFormat="1" applyFont="1" applyFill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6" fillId="6" borderId="15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165" fontId="6" fillId="0" borderId="0" xfId="1" applyNumberFormat="1" applyFont="1" applyFill="1" applyBorder="1" applyAlignment="1">
      <alignment horizontal="center" vertical="center" wrapText="1"/>
    </xf>
    <xf numFmtId="164" fontId="6" fillId="0" borderId="0" xfId="1" applyNumberFormat="1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2" fontId="6" fillId="7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7" fillId="8" borderId="1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2" fontId="6" fillId="8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164" fontId="1" fillId="8" borderId="2" xfId="0" applyNumberFormat="1" applyFont="1" applyFill="1" applyBorder="1" applyAlignment="1">
      <alignment horizontal="center" vertical="center" wrapText="1"/>
    </xf>
    <xf numFmtId="164" fontId="11" fillId="8" borderId="42" xfId="0" applyNumberFormat="1" applyFont="1" applyFill="1" applyBorder="1" applyAlignment="1">
      <alignment horizontal="center" vertical="center" wrapText="1"/>
    </xf>
    <xf numFmtId="164" fontId="1" fillId="8" borderId="12" xfId="0" applyNumberFormat="1" applyFont="1" applyFill="1" applyBorder="1" applyAlignment="1">
      <alignment horizontal="center" vertical="center" wrapText="1"/>
    </xf>
    <xf numFmtId="9" fontId="6" fillId="8" borderId="11" xfId="0" applyNumberFormat="1" applyFont="1" applyFill="1" applyBorder="1" applyAlignment="1">
      <alignment horizontal="center" vertical="center" wrapText="1"/>
    </xf>
    <xf numFmtId="1" fontId="12" fillId="8" borderId="1" xfId="0" applyNumberFormat="1" applyFont="1" applyFill="1" applyBorder="1" applyAlignment="1">
      <alignment horizontal="center" vertical="center" wrapText="1"/>
    </xf>
    <xf numFmtId="164" fontId="13" fillId="8" borderId="12" xfId="0" applyNumberFormat="1" applyFont="1" applyFill="1" applyBorder="1" applyAlignment="1">
      <alignment horizontal="center" vertical="center" wrapText="1"/>
    </xf>
    <xf numFmtId="164" fontId="13" fillId="8" borderId="39" xfId="0" applyNumberFormat="1" applyFont="1" applyFill="1" applyBorder="1" applyAlignment="1">
      <alignment horizontal="center" vertical="center" wrapText="1"/>
    </xf>
    <xf numFmtId="1" fontId="5" fillId="8" borderId="0" xfId="0" applyNumberFormat="1" applyFont="1" applyFill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2" fontId="6" fillId="9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6" fillId="9" borderId="12" xfId="0" applyFont="1" applyFill="1" applyBorder="1" applyAlignment="1">
      <alignment horizontal="center" vertical="center" wrapText="1"/>
    </xf>
    <xf numFmtId="164" fontId="1" fillId="9" borderId="2" xfId="0" applyNumberFormat="1" applyFont="1" applyFill="1" applyBorder="1" applyAlignment="1">
      <alignment horizontal="center" vertical="center" wrapText="1"/>
    </xf>
    <xf numFmtId="164" fontId="11" fillId="9" borderId="42" xfId="0" applyNumberFormat="1" applyFont="1" applyFill="1" applyBorder="1" applyAlignment="1">
      <alignment horizontal="center" vertical="center" wrapText="1"/>
    </xf>
    <xf numFmtId="164" fontId="1" fillId="9" borderId="12" xfId="0" applyNumberFormat="1" applyFont="1" applyFill="1" applyBorder="1" applyAlignment="1">
      <alignment horizontal="center" vertical="center" wrapText="1"/>
    </xf>
    <xf numFmtId="9" fontId="6" fillId="9" borderId="11" xfId="0" applyNumberFormat="1" applyFont="1" applyFill="1" applyBorder="1" applyAlignment="1">
      <alignment horizontal="center" vertical="center" wrapText="1"/>
    </xf>
    <xf numFmtId="1" fontId="12" fillId="9" borderId="1" xfId="0" applyNumberFormat="1" applyFont="1" applyFill="1" applyBorder="1" applyAlignment="1">
      <alignment horizontal="center" vertical="center" wrapText="1"/>
    </xf>
    <xf numFmtId="164" fontId="13" fillId="9" borderId="12" xfId="0" applyNumberFormat="1" applyFont="1" applyFill="1" applyBorder="1" applyAlignment="1">
      <alignment horizontal="center" vertical="center" wrapText="1"/>
    </xf>
    <xf numFmtId="164" fontId="13" fillId="9" borderId="39" xfId="0" applyNumberFormat="1" applyFont="1" applyFill="1" applyBorder="1" applyAlignment="1">
      <alignment horizontal="center" vertical="center" wrapText="1"/>
    </xf>
    <xf numFmtId="1" fontId="5" fillId="9" borderId="0" xfId="0" applyNumberFormat="1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164" fontId="13" fillId="4" borderId="0" xfId="0" applyNumberFormat="1" applyFont="1" applyFill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10" fillId="4" borderId="37" xfId="0" applyFont="1" applyFill="1" applyBorder="1" applyAlignment="1">
      <alignment horizontal="center"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10" fillId="4" borderId="33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0" fontId="11" fillId="6" borderId="21" xfId="0" applyFont="1" applyFill="1" applyBorder="1" applyAlignment="1">
      <alignment horizontal="center" vertical="center" wrapText="1"/>
    </xf>
    <xf numFmtId="0" fontId="11" fillId="6" borderId="22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1" fillId="5" borderId="19" xfId="0" applyFont="1" applyFill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 wrapText="1"/>
    </xf>
    <xf numFmtId="0" fontId="10" fillId="5" borderId="20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 wrapText="1"/>
    </xf>
    <xf numFmtId="0" fontId="9" fillId="2" borderId="34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6" borderId="23" xfId="0" applyFont="1" applyFill="1" applyBorder="1" applyAlignment="1">
      <alignment horizontal="center" vertical="center" wrapText="1"/>
    </xf>
    <xf numFmtId="0" fontId="9" fillId="6" borderId="24" xfId="0" applyFont="1" applyFill="1" applyBorder="1" applyAlignment="1">
      <alignment horizontal="center" vertical="center" wrapText="1"/>
    </xf>
    <xf numFmtId="0" fontId="9" fillId="6" borderId="25" xfId="0" applyFont="1" applyFill="1" applyBorder="1" applyAlignment="1">
      <alignment horizontal="center" vertical="center" wrapText="1"/>
    </xf>
    <xf numFmtId="0" fontId="9" fillId="5" borderId="23" xfId="0" applyFont="1" applyFill="1" applyBorder="1" applyAlignment="1">
      <alignment horizontal="center" vertical="center" wrapText="1"/>
    </xf>
    <xf numFmtId="0" fontId="9" fillId="5" borderId="24" xfId="0" applyFont="1" applyFill="1" applyBorder="1" applyAlignment="1">
      <alignment horizontal="center" vertical="center" wrapText="1"/>
    </xf>
    <xf numFmtId="0" fontId="9" fillId="5" borderId="25" xfId="0" applyFont="1" applyFill="1" applyBorder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 wrapText="1"/>
    </xf>
    <xf numFmtId="0" fontId="10" fillId="3" borderId="31" xfId="0" applyFont="1" applyFill="1" applyBorder="1" applyAlignment="1">
      <alignment horizontal="center" vertical="center" wrapText="1"/>
    </xf>
    <xf numFmtId="0" fontId="8" fillId="3" borderId="19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21"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B2912-00B1-4E4D-9B89-7C40B884C456}" name="globalPrices" displayName="globalPrices" ref="D7:F15" totalsRowShown="0" headerRowDxfId="20" headerRowBorderDxfId="19" tableBorderDxfId="18" totalsRowBorderDxfId="17">
  <autoFilter ref="D7:F15" xr:uid="{9FDB2912-00B1-4E4D-9B89-7C40B884C456}">
    <filterColumn colId="0" hiddenButton="1"/>
    <filterColumn colId="1" hiddenButton="1"/>
    <filterColumn colId="2" hiddenButton="1"/>
  </autoFilter>
  <tableColumns count="3">
    <tableColumn id="1" xr3:uid="{2DC40AFC-71BC-4421-9104-8C0EB8826AE4}" name="اسم" dataDxfId="16"/>
    <tableColumn id="2" xr3:uid="{A2022809-BEA1-440F-B4FF-A7556E59DC72}" name="ملاحظات" dataDxfId="15"/>
    <tableColumn id="3" xr3:uid="{FE056B6B-A990-4DA2-9583-3F6C1A3D3B84}" name="سعر" dataDxfId="14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2BD92-04CE-46BD-961E-5C09F8EA5547}" name="materials" displayName="materials" ref="D21:L65" totalsRowShown="0" headerRowDxfId="13" dataDxfId="11" headerRowBorderDxfId="12" tableBorderDxfId="10" totalsRowBorderDxfId="9">
  <autoFilter ref="D21:L65" xr:uid="{EBE2BD92-04CE-46BD-961E-5C09F8EA55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074CFD8-332C-48DD-A8E4-A2AAD74F4B97}" name="توصيف" dataDxfId="8"/>
    <tableColumn id="2" xr3:uid="{45869530-4B08-4A75-843C-3108032F74E1}" name=".." dataDxfId="7"/>
    <tableColumn id="3" xr3:uid="{BE05AEF8-B581-4893-A5E0-956717D84871}" name="عرض" dataDxfId="6"/>
    <tableColumn id="4" xr3:uid="{775F203E-E916-4E7F-9EDC-70BEE114C912}" name="طول" dataDxfId="5"/>
    <tableColumn id="6" xr3:uid="{151006C8-9855-4E64-94F5-8DC27CB70309}" name="سعر اللوح" dataDxfId="4"/>
    <tableColumn id="7" xr3:uid="{A57E7E32-0284-4B2F-8620-46A1F6D82393}" name="ملاحظات" dataDxfId="3"/>
    <tableColumn id="9" xr3:uid="{5A25084B-6156-42E3-98CC-7FA596E09592}" name="مساحة" dataDxfId="2">
      <calculatedColumnFormula>G22*F22</calculatedColumnFormula>
    </tableColumn>
    <tableColumn id="11" xr3:uid="{195F0860-3A0C-463B-ABEE-19D593010224}" name="...." dataDxfId="1"/>
    <tableColumn id="12" xr3:uid="{F4AC85D7-5E5E-4924-B69C-C14D4B82A91C}" name="مساحة على ...." dataDxfId="0">
      <calculatedColumnFormula>K22/J22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41C3-E27D-4F25-8CF6-7C8177AC579D}">
  <sheetPr codeName="Sheet1"/>
  <dimension ref="D7:L65"/>
  <sheetViews>
    <sheetView rightToLeft="1" zoomScale="55" zoomScaleNormal="55" workbookViewId="0">
      <selection activeCell="F38" sqref="F38"/>
    </sheetView>
  </sheetViews>
  <sheetFormatPr defaultRowHeight="14.4" x14ac:dyDescent="0.3"/>
  <cols>
    <col min="4" max="4" width="37.33203125" customWidth="1"/>
    <col min="5" max="11" width="19.77734375" customWidth="1"/>
    <col min="12" max="12" width="22.109375" bestFit="1" customWidth="1"/>
    <col min="13" max="13" width="15.77734375" customWidth="1"/>
    <col min="14" max="15" width="22" customWidth="1"/>
  </cols>
  <sheetData>
    <row r="7" spans="4:6" ht="24.6" x14ac:dyDescent="0.3">
      <c r="D7" s="4" t="s">
        <v>9</v>
      </c>
      <c r="E7" s="5" t="s">
        <v>11</v>
      </c>
      <c r="F7" s="6" t="s">
        <v>10</v>
      </c>
    </row>
    <row r="8" spans="4:6" ht="21" x14ac:dyDescent="0.3">
      <c r="D8" s="2" t="s">
        <v>0</v>
      </c>
      <c r="E8" s="1"/>
      <c r="F8" s="3">
        <v>300</v>
      </c>
    </row>
    <row r="9" spans="4:6" ht="42" x14ac:dyDescent="0.3">
      <c r="D9" s="2" t="s">
        <v>1</v>
      </c>
      <c r="E9" s="1"/>
      <c r="F9" s="3">
        <v>150</v>
      </c>
    </row>
    <row r="10" spans="4:6" ht="21" x14ac:dyDescent="0.3">
      <c r="D10" s="2" t="s">
        <v>2</v>
      </c>
      <c r="E10" s="1"/>
      <c r="F10" s="3">
        <v>35</v>
      </c>
    </row>
    <row r="11" spans="4:6" ht="21" x14ac:dyDescent="0.3">
      <c r="D11" s="2" t="s">
        <v>3</v>
      </c>
      <c r="E11" s="1"/>
      <c r="F11" s="3">
        <v>55</v>
      </c>
    </row>
    <row r="12" spans="4:6" ht="21" x14ac:dyDescent="0.3">
      <c r="D12" s="2" t="s">
        <v>4</v>
      </c>
      <c r="E12" s="1"/>
      <c r="F12" s="3">
        <v>200</v>
      </c>
    </row>
    <row r="13" spans="4:6" ht="21" x14ac:dyDescent="0.3">
      <c r="D13" s="2" t="s">
        <v>5</v>
      </c>
      <c r="E13" s="1" t="s">
        <v>6</v>
      </c>
      <c r="F13" s="3">
        <v>12</v>
      </c>
    </row>
    <row r="14" spans="4:6" ht="21" x14ac:dyDescent="0.3">
      <c r="D14" s="2" t="s">
        <v>7</v>
      </c>
      <c r="E14" s="1" t="s">
        <v>6</v>
      </c>
      <c r="F14" s="3">
        <v>12</v>
      </c>
    </row>
    <row r="15" spans="4:6" ht="21" x14ac:dyDescent="0.3">
      <c r="D15" s="7" t="s">
        <v>8</v>
      </c>
      <c r="E15" s="8"/>
      <c r="F15" s="9">
        <v>30</v>
      </c>
    </row>
    <row r="21" spans="4:12" ht="23.4" x14ac:dyDescent="0.3">
      <c r="D21" s="97" t="s">
        <v>48</v>
      </c>
      <c r="E21" s="98" t="s">
        <v>53</v>
      </c>
      <c r="F21" s="98" t="s">
        <v>49</v>
      </c>
      <c r="G21" s="98" t="s">
        <v>50</v>
      </c>
      <c r="H21" s="98" t="s">
        <v>51</v>
      </c>
      <c r="I21" s="98" t="s">
        <v>11</v>
      </c>
      <c r="J21" s="98" t="s">
        <v>52</v>
      </c>
      <c r="K21" s="98" t="s">
        <v>54</v>
      </c>
      <c r="L21" s="99" t="s">
        <v>55</v>
      </c>
    </row>
    <row r="22" spans="4:12" ht="23.4" x14ac:dyDescent="0.3">
      <c r="D22" s="100" t="s">
        <v>12</v>
      </c>
      <c r="E22" s="101" t="s">
        <v>13</v>
      </c>
      <c r="F22" s="101">
        <v>2.44</v>
      </c>
      <c r="G22" s="101">
        <v>1.22</v>
      </c>
      <c r="H22" s="101">
        <v>1200</v>
      </c>
      <c r="I22" s="101"/>
      <c r="J22" s="101">
        <f t="shared" ref="J22:J38" si="0">G22*F22</f>
        <v>2.9767999999999999</v>
      </c>
      <c r="K22" s="101">
        <v>1.1000000000000001</v>
      </c>
      <c r="L22" s="102">
        <f>K22/J22</f>
        <v>0.36952432141897346</v>
      </c>
    </row>
    <row r="23" spans="4:12" ht="23.4" x14ac:dyDescent="0.3">
      <c r="D23" s="100" t="s">
        <v>14</v>
      </c>
      <c r="E23" s="101" t="s">
        <v>13</v>
      </c>
      <c r="F23" s="101">
        <v>2.44</v>
      </c>
      <c r="G23" s="101">
        <v>1.22</v>
      </c>
      <c r="H23" s="101">
        <v>1350</v>
      </c>
      <c r="I23" s="101"/>
      <c r="J23" s="101">
        <f t="shared" si="0"/>
        <v>2.9767999999999999</v>
      </c>
      <c r="K23" s="101">
        <v>1.1000000000000001</v>
      </c>
      <c r="L23" s="102">
        <f>K23/J23</f>
        <v>0.36952432141897346</v>
      </c>
    </row>
    <row r="24" spans="4:12" ht="23.4" x14ac:dyDescent="0.3">
      <c r="D24" s="100" t="s">
        <v>15</v>
      </c>
      <c r="E24" s="101" t="s">
        <v>13</v>
      </c>
      <c r="F24" s="101">
        <v>2.44</v>
      </c>
      <c r="G24" s="101">
        <v>1.22</v>
      </c>
      <c r="H24" s="101">
        <v>2050</v>
      </c>
      <c r="I24" s="101"/>
      <c r="J24" s="101">
        <f t="shared" si="0"/>
        <v>2.9767999999999999</v>
      </c>
      <c r="K24" s="101">
        <v>1.1000000000000001</v>
      </c>
      <c r="L24" s="102">
        <f>K24/J24</f>
        <v>0.36952432141897346</v>
      </c>
    </row>
    <row r="25" spans="4:12" ht="23.4" x14ac:dyDescent="0.3">
      <c r="D25" s="100" t="s">
        <v>16</v>
      </c>
      <c r="E25" s="101" t="s">
        <v>17</v>
      </c>
      <c r="F25" s="101">
        <v>2.44</v>
      </c>
      <c r="G25" s="101">
        <v>1.22</v>
      </c>
      <c r="H25" s="101">
        <v>480</v>
      </c>
      <c r="I25" s="101"/>
      <c r="J25" s="101">
        <f t="shared" si="0"/>
        <v>2.9767999999999999</v>
      </c>
      <c r="K25" s="101">
        <v>1.1000000000000001</v>
      </c>
      <c r="L25" s="102">
        <f>K25/J25</f>
        <v>0.36952432141897346</v>
      </c>
    </row>
    <row r="26" spans="4:12" ht="23.4" x14ac:dyDescent="0.3">
      <c r="D26" s="100"/>
      <c r="E26" s="101"/>
      <c r="F26" s="101"/>
      <c r="G26" s="101"/>
      <c r="H26" s="101"/>
      <c r="I26" s="101"/>
      <c r="J26" s="101">
        <f t="shared" si="0"/>
        <v>0</v>
      </c>
      <c r="K26" s="101"/>
      <c r="L26" s="102"/>
    </row>
    <row r="27" spans="4:12" ht="23.4" x14ac:dyDescent="0.3">
      <c r="D27" s="100" t="s">
        <v>18</v>
      </c>
      <c r="E27" s="101" t="s">
        <v>13</v>
      </c>
      <c r="F27" s="101">
        <v>2.44</v>
      </c>
      <c r="G27" s="101">
        <v>1.22</v>
      </c>
      <c r="H27" s="101">
        <v>2650</v>
      </c>
      <c r="I27" s="101"/>
      <c r="J27" s="101">
        <f t="shared" si="0"/>
        <v>2.9767999999999999</v>
      </c>
      <c r="K27" s="101">
        <v>1.1000000000000001</v>
      </c>
      <c r="L27" s="102">
        <f t="shared" ref="L27:L38" si="1">K27/J27</f>
        <v>0.36952432141897346</v>
      </c>
    </row>
    <row r="28" spans="4:12" ht="23.4" x14ac:dyDescent="0.3">
      <c r="D28" s="100" t="s">
        <v>19</v>
      </c>
      <c r="E28" s="101" t="s">
        <v>13</v>
      </c>
      <c r="F28" s="101">
        <v>2.8</v>
      </c>
      <c r="G28" s="101">
        <v>1.22</v>
      </c>
      <c r="H28" s="101">
        <v>3000</v>
      </c>
      <c r="I28" s="101"/>
      <c r="J28" s="101">
        <f t="shared" si="0"/>
        <v>3.4159999999999999</v>
      </c>
      <c r="K28" s="101">
        <v>1.1000000000000001</v>
      </c>
      <c r="L28" s="102">
        <f t="shared" si="1"/>
        <v>0.32201405152224827</v>
      </c>
    </row>
    <row r="29" spans="4:12" ht="23.4" x14ac:dyDescent="0.3">
      <c r="D29" s="100" t="s">
        <v>20</v>
      </c>
      <c r="E29" s="101" t="s">
        <v>13</v>
      </c>
      <c r="F29" s="101">
        <v>2.8</v>
      </c>
      <c r="G29" s="101">
        <v>1.22</v>
      </c>
      <c r="H29" s="101">
        <v>7000</v>
      </c>
      <c r="I29" s="101"/>
      <c r="J29" s="101">
        <f t="shared" si="0"/>
        <v>3.4159999999999999</v>
      </c>
      <c r="K29" s="101">
        <v>1.1000000000000001</v>
      </c>
      <c r="L29" s="102">
        <f t="shared" si="1"/>
        <v>0.32201405152224827</v>
      </c>
    </row>
    <row r="30" spans="4:12" ht="23.4" x14ac:dyDescent="0.3">
      <c r="D30" s="100" t="s">
        <v>21</v>
      </c>
      <c r="E30" s="101" t="s">
        <v>13</v>
      </c>
      <c r="F30" s="101">
        <v>2.8</v>
      </c>
      <c r="G30" s="101">
        <v>1.22</v>
      </c>
      <c r="H30" s="101">
        <v>6300</v>
      </c>
      <c r="I30" s="101"/>
      <c r="J30" s="101">
        <f t="shared" si="0"/>
        <v>3.4159999999999999</v>
      </c>
      <c r="K30" s="101">
        <v>1.1000000000000001</v>
      </c>
      <c r="L30" s="102">
        <f t="shared" si="1"/>
        <v>0.32201405152224827</v>
      </c>
    </row>
    <row r="31" spans="4:12" ht="23.4" x14ac:dyDescent="0.3">
      <c r="D31" s="100" t="s">
        <v>22</v>
      </c>
      <c r="E31" s="101" t="s">
        <v>13</v>
      </c>
      <c r="F31" s="101">
        <v>2.8</v>
      </c>
      <c r="G31" s="101">
        <v>1.22</v>
      </c>
      <c r="H31" s="101">
        <v>6300</v>
      </c>
      <c r="I31" s="101"/>
      <c r="J31" s="101">
        <f t="shared" si="0"/>
        <v>3.4159999999999999</v>
      </c>
      <c r="K31" s="101">
        <v>1.1000000000000001</v>
      </c>
      <c r="L31" s="102">
        <f t="shared" si="1"/>
        <v>0.32201405152224827</v>
      </c>
    </row>
    <row r="32" spans="4:12" ht="23.4" x14ac:dyDescent="0.3">
      <c r="D32" s="100" t="s">
        <v>23</v>
      </c>
      <c r="E32" s="101" t="s">
        <v>13</v>
      </c>
      <c r="F32" s="101">
        <v>2.8</v>
      </c>
      <c r="G32" s="101">
        <v>2.1</v>
      </c>
      <c r="H32" s="101">
        <v>5800</v>
      </c>
      <c r="I32" s="101"/>
      <c r="J32" s="101">
        <f t="shared" si="0"/>
        <v>5.88</v>
      </c>
      <c r="K32" s="101">
        <v>1.1000000000000001</v>
      </c>
      <c r="L32" s="102">
        <f t="shared" si="1"/>
        <v>0.1870748299319728</v>
      </c>
    </row>
    <row r="33" spans="4:12" ht="23.4" x14ac:dyDescent="0.3">
      <c r="D33" s="100" t="s">
        <v>93</v>
      </c>
      <c r="E33" s="101" t="s">
        <v>13</v>
      </c>
      <c r="F33" s="101">
        <v>2.8</v>
      </c>
      <c r="G33" s="101">
        <v>1.22</v>
      </c>
      <c r="H33" s="101">
        <v>5000</v>
      </c>
      <c r="I33" s="101"/>
      <c r="J33" s="101">
        <f t="shared" si="0"/>
        <v>3.4159999999999999</v>
      </c>
      <c r="K33" s="101">
        <v>1.1000000000000001</v>
      </c>
      <c r="L33" s="102">
        <f t="shared" si="1"/>
        <v>0.32201405152224827</v>
      </c>
    </row>
    <row r="34" spans="4:12" ht="23.4" x14ac:dyDescent="0.3">
      <c r="D34" s="100" t="s">
        <v>24</v>
      </c>
      <c r="E34" s="101" t="s">
        <v>13</v>
      </c>
      <c r="F34" s="101">
        <v>2.8</v>
      </c>
      <c r="G34" s="101">
        <v>2.1</v>
      </c>
      <c r="H34" s="101">
        <v>7250</v>
      </c>
      <c r="I34" s="101"/>
      <c r="J34" s="101">
        <f t="shared" si="0"/>
        <v>5.88</v>
      </c>
      <c r="K34" s="101">
        <v>1.1000000000000001</v>
      </c>
      <c r="L34" s="102">
        <f t="shared" si="1"/>
        <v>0.1870748299319728</v>
      </c>
    </row>
    <row r="35" spans="4:12" ht="23.4" x14ac:dyDescent="0.3">
      <c r="D35" s="100" t="s">
        <v>25</v>
      </c>
      <c r="E35" s="101" t="s">
        <v>13</v>
      </c>
      <c r="F35" s="101">
        <v>2.8</v>
      </c>
      <c r="G35" s="101">
        <v>1.22</v>
      </c>
      <c r="H35" s="101">
        <v>3900</v>
      </c>
      <c r="I35" s="101"/>
      <c r="J35" s="101">
        <f t="shared" si="0"/>
        <v>3.4159999999999999</v>
      </c>
      <c r="K35" s="101">
        <v>1.1000000000000001</v>
      </c>
      <c r="L35" s="102">
        <f t="shared" si="1"/>
        <v>0.32201405152224827</v>
      </c>
    </row>
    <row r="36" spans="4:12" ht="23.4" x14ac:dyDescent="0.3">
      <c r="D36" s="100" t="s">
        <v>26</v>
      </c>
      <c r="E36" s="101" t="s">
        <v>13</v>
      </c>
      <c r="F36" s="101">
        <v>2.8</v>
      </c>
      <c r="G36" s="101">
        <v>1.22</v>
      </c>
      <c r="H36" s="101">
        <v>5600</v>
      </c>
      <c r="I36" s="101"/>
      <c r="J36" s="101">
        <f t="shared" si="0"/>
        <v>3.4159999999999999</v>
      </c>
      <c r="K36" s="101">
        <v>1.1000000000000001</v>
      </c>
      <c r="L36" s="102">
        <f t="shared" si="1"/>
        <v>0.32201405152224827</v>
      </c>
    </row>
    <row r="37" spans="4:12" ht="23.4" x14ac:dyDescent="0.3">
      <c r="D37" s="100" t="s">
        <v>27</v>
      </c>
      <c r="E37" s="101" t="s">
        <v>13</v>
      </c>
      <c r="F37" s="101">
        <v>2.44</v>
      </c>
      <c r="G37" s="101">
        <v>1.22</v>
      </c>
      <c r="H37" s="101">
        <v>6800</v>
      </c>
      <c r="I37" s="101"/>
      <c r="J37" s="101">
        <f t="shared" si="0"/>
        <v>2.9767999999999999</v>
      </c>
      <c r="K37" s="101">
        <v>1.1000000000000001</v>
      </c>
      <c r="L37" s="102">
        <f t="shared" si="1"/>
        <v>0.36952432141897346</v>
      </c>
    </row>
    <row r="38" spans="4:12" ht="23.4" x14ac:dyDescent="0.3">
      <c r="D38" s="100" t="s">
        <v>27</v>
      </c>
      <c r="E38" s="101" t="s">
        <v>13</v>
      </c>
      <c r="F38" s="101">
        <v>2.44</v>
      </c>
      <c r="G38" s="101">
        <v>1.22</v>
      </c>
      <c r="H38" s="101">
        <v>6200</v>
      </c>
      <c r="I38" s="101"/>
      <c r="J38" s="101">
        <f t="shared" si="0"/>
        <v>2.9767999999999999</v>
      </c>
      <c r="K38" s="101">
        <v>1.1000000000000001</v>
      </c>
      <c r="L38" s="102">
        <f t="shared" si="1"/>
        <v>0.36952432141897346</v>
      </c>
    </row>
    <row r="39" spans="4:12" ht="23.4" x14ac:dyDescent="0.3">
      <c r="D39" s="100"/>
      <c r="E39" s="101"/>
      <c r="F39" s="101"/>
      <c r="G39" s="101"/>
      <c r="H39" s="101"/>
      <c r="I39" s="101"/>
      <c r="J39" s="101"/>
      <c r="K39" s="101"/>
      <c r="L39" s="102"/>
    </row>
    <row r="40" spans="4:12" ht="23.4" x14ac:dyDescent="0.3">
      <c r="D40" s="100"/>
      <c r="E40" s="101"/>
      <c r="F40" s="101"/>
      <c r="G40" s="101"/>
      <c r="H40" s="101"/>
      <c r="I40" s="101"/>
      <c r="J40" s="101"/>
      <c r="K40" s="101"/>
      <c r="L40" s="102"/>
    </row>
    <row r="41" spans="4:12" ht="23.4" x14ac:dyDescent="0.3">
      <c r="D41" s="100" t="s">
        <v>28</v>
      </c>
      <c r="E41" s="101" t="s">
        <v>13</v>
      </c>
      <c r="F41" s="101">
        <v>2.8</v>
      </c>
      <c r="G41" s="101">
        <v>1.22</v>
      </c>
      <c r="H41" s="101">
        <v>4500</v>
      </c>
      <c r="I41" s="101"/>
      <c r="J41" s="101">
        <f>G41*F41</f>
        <v>3.4159999999999999</v>
      </c>
      <c r="K41" s="101">
        <v>1.1000000000000001</v>
      </c>
      <c r="L41" s="102">
        <f>K41/J41</f>
        <v>0.32201405152224827</v>
      </c>
    </row>
    <row r="42" spans="4:12" ht="23.4" x14ac:dyDescent="0.3">
      <c r="D42" s="100" t="s">
        <v>29</v>
      </c>
      <c r="E42" s="101"/>
      <c r="F42" s="101"/>
      <c r="G42" s="101"/>
      <c r="H42" s="101">
        <v>350</v>
      </c>
      <c r="I42" s="101" t="s">
        <v>30</v>
      </c>
      <c r="J42" s="101"/>
      <c r="K42" s="101"/>
      <c r="L42" s="102"/>
    </row>
    <row r="43" spans="4:12" ht="23.4" x14ac:dyDescent="0.3">
      <c r="D43" s="100" t="s">
        <v>31</v>
      </c>
      <c r="E43" s="101"/>
      <c r="F43" s="101"/>
      <c r="G43" s="101"/>
      <c r="H43" s="101">
        <v>1200</v>
      </c>
      <c r="I43" s="101" t="s">
        <v>30</v>
      </c>
      <c r="J43" s="101"/>
      <c r="K43" s="101"/>
      <c r="L43" s="102"/>
    </row>
    <row r="44" spans="4:12" ht="23.4" x14ac:dyDescent="0.3">
      <c r="D44" s="100" t="s">
        <v>32</v>
      </c>
      <c r="E44" s="101"/>
      <c r="F44" s="101"/>
      <c r="G44" s="101"/>
      <c r="H44" s="101">
        <v>800</v>
      </c>
      <c r="I44" s="101" t="s">
        <v>33</v>
      </c>
      <c r="J44" s="101"/>
      <c r="K44" s="101"/>
      <c r="L44" s="102"/>
    </row>
    <row r="45" spans="4:12" ht="23.4" x14ac:dyDescent="0.3">
      <c r="D45" s="100" t="s">
        <v>34</v>
      </c>
      <c r="E45" s="101"/>
      <c r="F45" s="101"/>
      <c r="G45" s="101"/>
      <c r="H45" s="101">
        <v>3500</v>
      </c>
      <c r="I45" s="101" t="s">
        <v>33</v>
      </c>
      <c r="J45" s="101"/>
      <c r="K45" s="101"/>
      <c r="L45" s="102"/>
    </row>
    <row r="46" spans="4:12" ht="23.4" x14ac:dyDescent="0.3">
      <c r="D46" s="100"/>
      <c r="E46" s="101"/>
      <c r="F46" s="101"/>
      <c r="G46" s="101"/>
      <c r="H46" s="101"/>
      <c r="I46" s="101"/>
      <c r="J46" s="101"/>
      <c r="K46" s="101"/>
      <c r="L46" s="102"/>
    </row>
    <row r="47" spans="4:12" ht="23.4" x14ac:dyDescent="0.3">
      <c r="D47" s="100" t="s">
        <v>35</v>
      </c>
      <c r="E47" s="101"/>
      <c r="F47" s="101">
        <v>2.8</v>
      </c>
      <c r="G47" s="101">
        <v>0.14000000000000001</v>
      </c>
      <c r="H47" s="101">
        <v>450</v>
      </c>
      <c r="I47" s="101"/>
      <c r="J47" s="101">
        <f>G47*F47</f>
        <v>0.39200000000000002</v>
      </c>
      <c r="K47" s="101">
        <v>1.3</v>
      </c>
      <c r="L47" s="102">
        <f>K47/J47</f>
        <v>3.3163265306122449</v>
      </c>
    </row>
    <row r="48" spans="4:12" ht="23.4" x14ac:dyDescent="0.3">
      <c r="D48" s="100"/>
      <c r="E48" s="101"/>
      <c r="F48" s="101"/>
      <c r="G48" s="101"/>
      <c r="H48" s="101"/>
      <c r="I48" s="101"/>
      <c r="J48" s="101"/>
      <c r="K48" s="101"/>
      <c r="L48" s="102"/>
    </row>
    <row r="49" spans="4:12" ht="23.4" x14ac:dyDescent="0.3">
      <c r="D49" s="100" t="s">
        <v>36</v>
      </c>
      <c r="E49" s="101"/>
      <c r="F49" s="101"/>
      <c r="G49" s="101"/>
      <c r="H49" s="101"/>
      <c r="I49" s="101"/>
      <c r="J49" s="101"/>
      <c r="K49" s="101"/>
      <c r="L49" s="102"/>
    </row>
    <row r="50" spans="4:12" ht="23.4" x14ac:dyDescent="0.3">
      <c r="D50" s="100" t="s">
        <v>37</v>
      </c>
      <c r="E50" s="101"/>
      <c r="F50" s="101"/>
      <c r="G50" s="101"/>
      <c r="H50" s="101"/>
      <c r="I50" s="101"/>
      <c r="J50" s="101"/>
      <c r="K50" s="101"/>
      <c r="L50" s="102"/>
    </row>
    <row r="51" spans="4:12" ht="23.4" x14ac:dyDescent="0.3">
      <c r="D51" s="100" t="s">
        <v>94</v>
      </c>
      <c r="E51" s="101">
        <v>4.5</v>
      </c>
      <c r="F51" s="101">
        <v>2.44</v>
      </c>
      <c r="G51" s="101">
        <v>1.22</v>
      </c>
      <c r="H51" s="101">
        <v>800</v>
      </c>
      <c r="I51" s="101"/>
      <c r="J51" s="101">
        <f>G51*F51</f>
        <v>2.9767999999999999</v>
      </c>
      <c r="K51" s="101">
        <v>1.1000000000000001</v>
      </c>
      <c r="L51" s="102">
        <f>K51/J51</f>
        <v>0.36952432141897346</v>
      </c>
    </row>
    <row r="52" spans="4:12" ht="23.4" x14ac:dyDescent="0.3">
      <c r="D52" s="100" t="s">
        <v>95</v>
      </c>
      <c r="E52" s="101" t="s">
        <v>38</v>
      </c>
      <c r="F52" s="101">
        <v>2.44</v>
      </c>
      <c r="G52" s="101">
        <v>1.22</v>
      </c>
      <c r="H52" s="101">
        <v>1250</v>
      </c>
      <c r="I52" s="101"/>
      <c r="J52" s="101">
        <f>G52*F52</f>
        <v>2.9767999999999999</v>
      </c>
      <c r="K52" s="101">
        <v>1.1000000000000001</v>
      </c>
      <c r="L52" s="102">
        <f>K52/J52</f>
        <v>0.36952432141897346</v>
      </c>
    </row>
    <row r="53" spans="4:12" ht="23.4" x14ac:dyDescent="0.3">
      <c r="D53" s="100" t="s">
        <v>96</v>
      </c>
      <c r="E53" s="101" t="s">
        <v>39</v>
      </c>
      <c r="F53" s="101">
        <v>2.44</v>
      </c>
      <c r="G53" s="101">
        <v>1.22</v>
      </c>
      <c r="H53" s="101">
        <v>2050</v>
      </c>
      <c r="I53" s="101"/>
      <c r="J53" s="101">
        <f>G53*F53</f>
        <v>2.9767999999999999</v>
      </c>
      <c r="K53" s="101">
        <v>1.1000000000000001</v>
      </c>
      <c r="L53" s="102">
        <f>K53/J53</f>
        <v>0.36952432141897346</v>
      </c>
    </row>
    <row r="54" spans="4:12" ht="23.4" x14ac:dyDescent="0.3">
      <c r="D54" s="100" t="s">
        <v>97</v>
      </c>
      <c r="E54" s="101" t="s">
        <v>13</v>
      </c>
      <c r="F54" s="101">
        <v>2.44</v>
      </c>
      <c r="G54" s="101">
        <v>1.22</v>
      </c>
      <c r="H54" s="101">
        <v>2500</v>
      </c>
      <c r="I54" s="101"/>
      <c r="J54" s="101">
        <f>G54*F54</f>
        <v>2.9767999999999999</v>
      </c>
      <c r="K54" s="101">
        <v>1.1000000000000001</v>
      </c>
      <c r="L54" s="102">
        <f>K54/J54</f>
        <v>0.36952432141897346</v>
      </c>
    </row>
    <row r="55" spans="4:12" ht="23.4" x14ac:dyDescent="0.3">
      <c r="D55" s="100"/>
      <c r="E55" s="101"/>
      <c r="F55" s="101"/>
      <c r="G55" s="101"/>
      <c r="H55" s="101"/>
      <c r="I55" s="101"/>
      <c r="J55" s="101"/>
      <c r="K55" s="101"/>
      <c r="L55" s="102"/>
    </row>
    <row r="56" spans="4:12" ht="23.4" x14ac:dyDescent="0.3">
      <c r="D56" s="100" t="s">
        <v>40</v>
      </c>
      <c r="E56" s="101" t="s">
        <v>13</v>
      </c>
      <c r="F56" s="101">
        <v>2.44</v>
      </c>
      <c r="G56" s="101">
        <v>1.22</v>
      </c>
      <c r="H56" s="101">
        <v>3150</v>
      </c>
      <c r="I56" s="101"/>
      <c r="J56" s="101">
        <f>G56*F56</f>
        <v>2.9767999999999999</v>
      </c>
      <c r="K56" s="101">
        <v>1.1000000000000001</v>
      </c>
      <c r="L56" s="102">
        <f>K56/J56</f>
        <v>0.36952432141897346</v>
      </c>
    </row>
    <row r="57" spans="4:12" ht="23.4" x14ac:dyDescent="0.3">
      <c r="D57" s="100" t="s">
        <v>41</v>
      </c>
      <c r="E57" s="101" t="s">
        <v>13</v>
      </c>
      <c r="F57" s="101">
        <v>2.44</v>
      </c>
      <c r="G57" s="101">
        <v>1.22</v>
      </c>
      <c r="H57" s="101">
        <v>3500</v>
      </c>
      <c r="I57" s="101"/>
      <c r="J57" s="101">
        <f>G57*F57</f>
        <v>2.9767999999999999</v>
      </c>
      <c r="K57" s="101">
        <v>1.1000000000000001</v>
      </c>
      <c r="L57" s="102">
        <f>K57/J57</f>
        <v>0.36952432141897346</v>
      </c>
    </row>
    <row r="58" spans="4:12" ht="23.4" x14ac:dyDescent="0.3">
      <c r="D58" s="100"/>
      <c r="E58" s="101"/>
      <c r="F58" s="101"/>
      <c r="G58" s="101"/>
      <c r="H58" s="101"/>
      <c r="I58" s="101"/>
      <c r="J58" s="101"/>
      <c r="K58" s="101"/>
      <c r="L58" s="102"/>
    </row>
    <row r="59" spans="4:12" ht="23.4" x14ac:dyDescent="0.3">
      <c r="D59" s="100" t="s">
        <v>42</v>
      </c>
      <c r="E59" s="101" t="s">
        <v>13</v>
      </c>
      <c r="F59" s="101">
        <v>2.44</v>
      </c>
      <c r="G59" s="101">
        <v>1.22</v>
      </c>
      <c r="H59" s="101">
        <v>3550</v>
      </c>
      <c r="I59" s="101"/>
      <c r="J59" s="101">
        <f>G59*F59</f>
        <v>2.9767999999999999</v>
      </c>
      <c r="K59" s="101">
        <v>1.1000000000000001</v>
      </c>
      <c r="L59" s="102">
        <f>K59/J59</f>
        <v>0.36952432141897346</v>
      </c>
    </row>
    <row r="60" spans="4:12" ht="23.4" x14ac:dyDescent="0.3">
      <c r="D60" s="100"/>
      <c r="E60" s="101"/>
      <c r="F60" s="101"/>
      <c r="G60" s="101"/>
      <c r="H60" s="101"/>
      <c r="I60" s="101"/>
      <c r="J60" s="101"/>
      <c r="K60" s="101"/>
      <c r="L60" s="102"/>
    </row>
    <row r="61" spans="4:12" ht="23.4" x14ac:dyDescent="0.3">
      <c r="D61" s="100" t="s">
        <v>43</v>
      </c>
      <c r="E61" s="101"/>
      <c r="F61" s="101"/>
      <c r="G61" s="101"/>
      <c r="H61" s="101"/>
      <c r="I61" s="101"/>
      <c r="J61" s="101"/>
      <c r="K61" s="101"/>
      <c r="L61" s="102"/>
    </row>
    <row r="62" spans="4:12" ht="23.4" x14ac:dyDescent="0.3">
      <c r="D62" s="100" t="s">
        <v>44</v>
      </c>
      <c r="E62" s="101" t="s">
        <v>13</v>
      </c>
      <c r="F62" s="101">
        <v>2.44</v>
      </c>
      <c r="G62" s="101">
        <v>1.22</v>
      </c>
      <c r="H62" s="101">
        <v>2900</v>
      </c>
      <c r="I62" s="101"/>
      <c r="J62" s="101">
        <f>G62*F62</f>
        <v>2.9767999999999999</v>
      </c>
      <c r="K62" s="101">
        <v>1.1000000000000001</v>
      </c>
      <c r="L62" s="102">
        <f>K62/J62</f>
        <v>0.36952432141897346</v>
      </c>
    </row>
    <row r="63" spans="4:12" ht="23.4" x14ac:dyDescent="0.3">
      <c r="D63" s="100" t="s">
        <v>45</v>
      </c>
      <c r="E63" s="101" t="s">
        <v>13</v>
      </c>
      <c r="F63" s="101">
        <v>2.44</v>
      </c>
      <c r="G63" s="101">
        <v>1.22</v>
      </c>
      <c r="H63" s="101">
        <v>2900</v>
      </c>
      <c r="I63" s="101"/>
      <c r="J63" s="101">
        <f>G63*F63</f>
        <v>2.9767999999999999</v>
      </c>
      <c r="K63" s="101">
        <v>1.1000000000000001</v>
      </c>
      <c r="L63" s="102">
        <f>K63/J63</f>
        <v>0.36952432141897346</v>
      </c>
    </row>
    <row r="64" spans="4:12" ht="23.4" x14ac:dyDescent="0.3">
      <c r="D64" s="100" t="s">
        <v>46</v>
      </c>
      <c r="E64" s="101" t="s">
        <v>13</v>
      </c>
      <c r="F64" s="101">
        <v>2.44</v>
      </c>
      <c r="G64" s="101">
        <v>1.22</v>
      </c>
      <c r="H64" s="101">
        <v>3000</v>
      </c>
      <c r="I64" s="101"/>
      <c r="J64" s="101">
        <f>G64*F64</f>
        <v>2.9767999999999999</v>
      </c>
      <c r="K64" s="101">
        <v>1.1000000000000001</v>
      </c>
      <c r="L64" s="102">
        <f>K64/J64</f>
        <v>0.36952432141897346</v>
      </c>
    </row>
    <row r="65" spans="4:12" ht="23.4" x14ac:dyDescent="0.3">
      <c r="D65" s="103" t="s">
        <v>47</v>
      </c>
      <c r="E65" s="104" t="s">
        <v>13</v>
      </c>
      <c r="F65" s="104">
        <v>2.44</v>
      </c>
      <c r="G65" s="104">
        <v>1.22</v>
      </c>
      <c r="H65" s="104">
        <v>3000</v>
      </c>
      <c r="I65" s="104"/>
      <c r="J65" s="104">
        <f>G65*F65</f>
        <v>2.9767999999999999</v>
      </c>
      <c r="K65" s="104">
        <v>1.1000000000000001</v>
      </c>
      <c r="L65" s="105">
        <f>K65/J65</f>
        <v>0.36952432141897346</v>
      </c>
    </row>
  </sheetData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0D974-A7DE-41D8-8F08-53736CFAE935}">
  <sheetPr codeName="Sheet2"/>
  <dimension ref="A1:AQ86"/>
  <sheetViews>
    <sheetView rightToLeft="1" tabSelected="1" topLeftCell="A14" zoomScale="70" zoomScaleNormal="70" workbookViewId="0">
      <selection activeCell="K27" sqref="K27"/>
    </sheetView>
  </sheetViews>
  <sheetFormatPr defaultRowHeight="14.4" x14ac:dyDescent="0.3"/>
  <cols>
    <col min="2" max="2" width="49.44140625" customWidth="1"/>
    <col min="5" max="5" width="16.21875" bestFit="1" customWidth="1"/>
    <col min="8" max="8" width="27.109375" bestFit="1" customWidth="1"/>
    <col min="9" max="9" width="20" bestFit="1" customWidth="1"/>
    <col min="22" max="22" width="40.109375" bestFit="1" customWidth="1"/>
    <col min="28" max="28" width="10.6640625" bestFit="1" customWidth="1"/>
    <col min="29" max="29" width="20.44140625" bestFit="1" customWidth="1"/>
    <col min="30" max="30" width="17.6640625" bestFit="1" customWidth="1"/>
    <col min="31" max="31" width="12.33203125" bestFit="1" customWidth="1"/>
    <col min="32" max="32" width="19" bestFit="1" customWidth="1"/>
    <col min="33" max="33" width="18.77734375" bestFit="1" customWidth="1"/>
    <col min="34" max="34" width="16" bestFit="1" customWidth="1"/>
    <col min="35" max="35" width="29" bestFit="1" customWidth="1"/>
    <col min="36" max="36" width="27.6640625" bestFit="1" customWidth="1"/>
    <col min="37" max="37" width="9.88671875" bestFit="1" customWidth="1"/>
    <col min="38" max="42" width="8.88671875" customWidth="1"/>
    <col min="43" max="43" width="20.109375" bestFit="1" customWidth="1"/>
  </cols>
  <sheetData>
    <row r="1" spans="1:43" ht="33.6" thickBot="1" x14ac:dyDescent="0.35">
      <c r="A1" s="134" t="s">
        <v>56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06"/>
      <c r="AL1" s="10"/>
      <c r="AM1" s="10"/>
      <c r="AN1" s="10"/>
      <c r="AO1" s="10"/>
      <c r="AP1" s="10"/>
      <c r="AQ1" s="10"/>
    </row>
    <row r="2" spans="1:43" ht="33.6" thickBot="1" x14ac:dyDescent="0.3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6" t="s">
        <v>57</v>
      </c>
      <c r="AD2" s="137"/>
      <c r="AE2" s="138"/>
      <c r="AF2" s="139" t="s">
        <v>58</v>
      </c>
      <c r="AG2" s="140"/>
      <c r="AH2" s="141"/>
      <c r="AI2" s="14" t="s">
        <v>59</v>
      </c>
      <c r="AJ2" s="15" t="s">
        <v>60</v>
      </c>
      <c r="AK2" s="107"/>
      <c r="AL2" s="10"/>
      <c r="AM2" s="10"/>
      <c r="AN2" s="10"/>
      <c r="AO2" s="10"/>
      <c r="AP2" s="10"/>
      <c r="AQ2" s="10"/>
    </row>
    <row r="3" spans="1:43" ht="24.6" x14ac:dyDescent="0.3">
      <c r="A3" s="142"/>
      <c r="B3" s="144" t="s">
        <v>48</v>
      </c>
      <c r="C3" s="128" t="s">
        <v>61</v>
      </c>
      <c r="D3" s="128"/>
      <c r="E3" s="128" t="s">
        <v>62</v>
      </c>
      <c r="F3" s="128"/>
      <c r="G3" s="128"/>
      <c r="H3" s="128" t="s">
        <v>63</v>
      </c>
      <c r="I3" s="128"/>
      <c r="J3" s="128" t="s">
        <v>64</v>
      </c>
      <c r="K3" s="128"/>
      <c r="L3" s="128"/>
      <c r="M3" s="128" t="s">
        <v>0</v>
      </c>
      <c r="N3" s="128"/>
      <c r="O3" s="128"/>
      <c r="P3" s="128" t="s">
        <v>2</v>
      </c>
      <c r="Q3" s="128"/>
      <c r="R3" s="128"/>
      <c r="S3" s="128" t="s">
        <v>3</v>
      </c>
      <c r="T3" s="128"/>
      <c r="U3" s="128"/>
      <c r="V3" s="129" t="s">
        <v>1</v>
      </c>
      <c r="W3" s="128" t="s">
        <v>65</v>
      </c>
      <c r="X3" s="128"/>
      <c r="Y3" s="128"/>
      <c r="Z3" s="131" t="s">
        <v>66</v>
      </c>
      <c r="AA3" s="132"/>
      <c r="AB3" s="131" t="s">
        <v>67</v>
      </c>
      <c r="AC3" s="116" t="s">
        <v>68</v>
      </c>
      <c r="AD3" s="118" t="s">
        <v>69</v>
      </c>
      <c r="AE3" s="120" t="s">
        <v>57</v>
      </c>
      <c r="AF3" s="122" t="s">
        <v>70</v>
      </c>
      <c r="AG3" s="124" t="s">
        <v>71</v>
      </c>
      <c r="AH3" s="126" t="s">
        <v>72</v>
      </c>
      <c r="AI3" s="112" t="s">
        <v>73</v>
      </c>
      <c r="AJ3" s="114" t="s">
        <v>73</v>
      </c>
      <c r="AK3" s="108"/>
      <c r="AL3" s="11"/>
      <c r="AM3" s="11"/>
      <c r="AN3" s="11"/>
      <c r="AO3" s="11"/>
      <c r="AP3" s="11"/>
      <c r="AQ3" s="11"/>
    </row>
    <row r="4" spans="1:43" ht="57" customHeight="1" thickBot="1" x14ac:dyDescent="0.35">
      <c r="A4" s="143"/>
      <c r="B4" s="145"/>
      <c r="C4" s="58" t="s">
        <v>74</v>
      </c>
      <c r="D4" s="58" t="s">
        <v>63</v>
      </c>
      <c r="E4" s="58" t="s">
        <v>75</v>
      </c>
      <c r="F4" s="58" t="s">
        <v>10</v>
      </c>
      <c r="G4" s="58" t="s">
        <v>76</v>
      </c>
      <c r="H4" s="58" t="s">
        <v>75</v>
      </c>
      <c r="I4" s="58" t="s">
        <v>77</v>
      </c>
      <c r="J4" s="58" t="s">
        <v>78</v>
      </c>
      <c r="K4" s="58" t="s">
        <v>10</v>
      </c>
      <c r="L4" s="58" t="s">
        <v>76</v>
      </c>
      <c r="M4" s="58" t="s">
        <v>79</v>
      </c>
      <c r="N4" s="58" t="s">
        <v>80</v>
      </c>
      <c r="O4" s="58" t="s">
        <v>81</v>
      </c>
      <c r="P4" s="58" t="s">
        <v>78</v>
      </c>
      <c r="Q4" s="58" t="s">
        <v>10</v>
      </c>
      <c r="R4" s="58" t="s">
        <v>76</v>
      </c>
      <c r="S4" s="58" t="s">
        <v>78</v>
      </c>
      <c r="T4" s="58" t="s">
        <v>10</v>
      </c>
      <c r="U4" s="58" t="s">
        <v>76</v>
      </c>
      <c r="V4" s="130"/>
      <c r="W4" s="58" t="s">
        <v>78</v>
      </c>
      <c r="X4" s="58" t="s">
        <v>10</v>
      </c>
      <c r="Y4" s="58" t="s">
        <v>76</v>
      </c>
      <c r="Z4" s="58" t="s">
        <v>82</v>
      </c>
      <c r="AA4" s="58" t="s">
        <v>83</v>
      </c>
      <c r="AB4" s="133"/>
      <c r="AC4" s="117"/>
      <c r="AD4" s="119"/>
      <c r="AE4" s="121"/>
      <c r="AF4" s="123"/>
      <c r="AG4" s="125"/>
      <c r="AH4" s="127"/>
      <c r="AI4" s="113"/>
      <c r="AJ4" s="115"/>
      <c r="AK4" s="108"/>
      <c r="AL4" s="10"/>
      <c r="AM4" s="10"/>
      <c r="AN4" s="10"/>
      <c r="AO4" s="10"/>
      <c r="AP4" s="10"/>
      <c r="AQ4" s="67" t="s">
        <v>84</v>
      </c>
    </row>
    <row r="5" spans="1:43" ht="24.6" x14ac:dyDescent="0.3">
      <c r="A5" s="16"/>
      <c r="B5" s="17"/>
      <c r="C5" s="18"/>
      <c r="D5" s="18"/>
      <c r="E5" s="19"/>
      <c r="F5" s="19"/>
      <c r="G5" s="19"/>
      <c r="H5" s="18"/>
      <c r="I5" s="18"/>
      <c r="J5" s="19"/>
      <c r="K5" s="19"/>
      <c r="L5" s="19"/>
      <c r="M5" s="18"/>
      <c r="N5" s="18"/>
      <c r="O5" s="18"/>
      <c r="P5" s="19"/>
      <c r="Q5" s="19"/>
      <c r="R5" s="19"/>
      <c r="S5" s="18"/>
      <c r="T5" s="18"/>
      <c r="U5" s="18"/>
      <c r="V5" s="19"/>
      <c r="W5" s="18"/>
      <c r="X5" s="18"/>
      <c r="Y5" s="18"/>
      <c r="Z5" s="19"/>
      <c r="AA5" s="19"/>
      <c r="AB5" s="20"/>
      <c r="AC5" s="21"/>
      <c r="AD5" s="22"/>
      <c r="AE5" s="23"/>
      <c r="AF5" s="24"/>
      <c r="AG5" s="25"/>
      <c r="AH5" s="26"/>
      <c r="AI5" s="27"/>
      <c r="AJ5" s="28"/>
      <c r="AK5" s="109" t="s">
        <v>76</v>
      </c>
      <c r="AL5" s="10"/>
      <c r="AM5" s="10"/>
      <c r="AN5" s="10"/>
      <c r="AO5" s="10"/>
      <c r="AP5" s="10"/>
      <c r="AQ5" s="10"/>
    </row>
    <row r="6" spans="1:43" ht="33.6" x14ac:dyDescent="0.3">
      <c r="A6" s="29">
        <v>0</v>
      </c>
      <c r="B6" s="30" t="s">
        <v>85</v>
      </c>
      <c r="C6" s="31">
        <v>1</v>
      </c>
      <c r="D6" s="32" cm="1">
        <f t="array" ref="D6">indexMaterials(H67,$P$29)</f>
        <v>0.36952432141897346</v>
      </c>
      <c r="E6" s="33" t="str">
        <f>H62</f>
        <v>فوم بورد 18م</v>
      </c>
      <c r="F6" s="33" cm="1">
        <f t="array" ref="F6">indexMaterials(E6,"سعر اللوح")</f>
        <v>2500</v>
      </c>
      <c r="G6" s="34">
        <f>F6*C6</f>
        <v>2500</v>
      </c>
      <c r="H6" s="31" t="str">
        <f>H67</f>
        <v>AQUA -PET-  PVC</v>
      </c>
      <c r="I6" s="1" cm="1">
        <f t="array" ref="I6">D6*indexMaterials(H6,$L$29)</f>
        <v>1311.8113410373558</v>
      </c>
      <c r="J6" s="35">
        <v>0.4</v>
      </c>
      <c r="K6" s="33">
        <f>G66</f>
        <v>0</v>
      </c>
      <c r="L6" s="34">
        <f>K6*J6</f>
        <v>0</v>
      </c>
      <c r="M6" s="31">
        <v>1</v>
      </c>
      <c r="N6" s="31">
        <f>G26</f>
        <v>0</v>
      </c>
      <c r="O6" s="1">
        <f>N6*M6</f>
        <v>0</v>
      </c>
      <c r="P6" s="33">
        <v>6</v>
      </c>
      <c r="Q6" s="33">
        <f>G28</f>
        <v>0</v>
      </c>
      <c r="R6" s="34">
        <f>Q6*P6</f>
        <v>0</v>
      </c>
      <c r="S6" s="31">
        <v>3</v>
      </c>
      <c r="T6" s="31">
        <f>G29</f>
        <v>0</v>
      </c>
      <c r="U6" s="1">
        <f>T6*S6</f>
        <v>0</v>
      </c>
      <c r="V6" s="34">
        <f>G27</f>
        <v>0</v>
      </c>
      <c r="W6" s="31">
        <v>25</v>
      </c>
      <c r="X6" s="31">
        <f>G31</f>
        <v>0</v>
      </c>
      <c r="Y6" s="1">
        <f>X6*W6</f>
        <v>0</v>
      </c>
      <c r="Z6" s="33">
        <v>0</v>
      </c>
      <c r="AA6" s="33"/>
      <c r="AB6" s="36">
        <f>AB10</f>
        <v>30</v>
      </c>
      <c r="AC6" s="37">
        <f>Y6+V6+U6+R6+O6+L6+I6+G6+AB6+AA6</f>
        <v>3841.8113410373558</v>
      </c>
      <c r="AD6" s="38">
        <f>AE6-AC6</f>
        <v>384.18113410373599</v>
      </c>
      <c r="AE6" s="39">
        <f>AC6*1.1</f>
        <v>4225.9924751410917</v>
      </c>
      <c r="AF6" s="40">
        <v>0.1</v>
      </c>
      <c r="AG6" s="41">
        <f>AF6*AE6</f>
        <v>422.59924751410921</v>
      </c>
      <c r="AH6" s="42">
        <f>AG6+AE6</f>
        <v>4648.591722655201</v>
      </c>
      <c r="AI6" s="43">
        <f>AH6/(1-0.1)</f>
        <v>5165.1019140613344</v>
      </c>
      <c r="AJ6" s="44">
        <f>AH6/(1-0.2)</f>
        <v>5810.7396533190013</v>
      </c>
      <c r="AK6" s="66">
        <f>(AC6*1.6)/2</f>
        <v>3073.4490728298847</v>
      </c>
      <c r="AL6" s="10"/>
      <c r="AM6" s="66">
        <f t="shared" ref="AM6:AO21" si="0">(AH6*1.6)/2</f>
        <v>3718.8733781241608</v>
      </c>
      <c r="AN6" s="66">
        <f t="shared" si="0"/>
        <v>4132.0815312490677</v>
      </c>
      <c r="AO6" s="66">
        <f t="shared" si="0"/>
        <v>4648.591722655201</v>
      </c>
      <c r="AP6" s="10"/>
      <c r="AQ6" s="10"/>
    </row>
    <row r="7" spans="1:43" ht="40.799999999999997" x14ac:dyDescent="0.3">
      <c r="A7" s="29">
        <v>1</v>
      </c>
      <c r="B7" s="30" t="s">
        <v>14</v>
      </c>
      <c r="C7" s="31">
        <v>1</v>
      </c>
      <c r="D7" s="32" cm="1">
        <f t="array" ref="D7">indexMaterials(H31,$P$29)</f>
        <v>0.36952432141897346</v>
      </c>
      <c r="E7" s="33" t="str">
        <f>H30</f>
        <v xml:space="preserve">كونتر ميلامين </v>
      </c>
      <c r="F7" s="33" cm="1">
        <f t="array" ref="F7">indexMaterials(E7,"سعر اللوح")</f>
        <v>1200</v>
      </c>
      <c r="G7" s="34">
        <f>F7*C7</f>
        <v>1200</v>
      </c>
      <c r="H7" s="31" t="str">
        <f>H31</f>
        <v>كونتر ميلامين ساندويتش</v>
      </c>
      <c r="I7" s="1" cm="1">
        <f t="array" ref="I7">D7*indexMaterials(H7,$L$29)</f>
        <v>498.85783391561415</v>
      </c>
      <c r="J7" s="35">
        <v>0.4</v>
      </c>
      <c r="K7" s="33">
        <f>G39</f>
        <v>0</v>
      </c>
      <c r="L7" s="34">
        <f>K7*J7</f>
        <v>0</v>
      </c>
      <c r="M7" s="31">
        <v>1</v>
      </c>
      <c r="N7" s="31">
        <f>G26</f>
        <v>0</v>
      </c>
      <c r="O7" s="1">
        <f>N7*M7</f>
        <v>0</v>
      </c>
      <c r="P7" s="33">
        <v>6</v>
      </c>
      <c r="Q7" s="33">
        <f>G28</f>
        <v>0</v>
      </c>
      <c r="R7" s="34">
        <f>Q7*P7</f>
        <v>0</v>
      </c>
      <c r="S7" s="31">
        <v>3</v>
      </c>
      <c r="T7" s="31">
        <f>G29</f>
        <v>0</v>
      </c>
      <c r="U7" s="1">
        <f>T7*S7</f>
        <v>0</v>
      </c>
      <c r="V7" s="34">
        <f>G27</f>
        <v>0</v>
      </c>
      <c r="W7" s="31">
        <v>25</v>
      </c>
      <c r="X7" s="31">
        <f>G32</f>
        <v>0</v>
      </c>
      <c r="Y7" s="1">
        <f>X7*W7</f>
        <v>0</v>
      </c>
      <c r="Z7" s="33">
        <v>0</v>
      </c>
      <c r="AA7" s="33"/>
      <c r="AB7" s="36">
        <f>AB11</f>
        <v>30</v>
      </c>
      <c r="AC7" s="37">
        <f>Y7+V7+U7+R7+O7+L7+I7+G7+AB7+AA7</f>
        <v>1728.8578339156143</v>
      </c>
      <c r="AD7" s="38">
        <f>AE7-AC7</f>
        <v>172.88578339156152</v>
      </c>
      <c r="AE7" s="39">
        <f>AC7*1.1</f>
        <v>1901.7436173071758</v>
      </c>
      <c r="AF7" s="40">
        <v>0.1</v>
      </c>
      <c r="AG7" s="41">
        <f>AF7*AE7</f>
        <v>190.17436173071758</v>
      </c>
      <c r="AH7" s="42">
        <f>AG7+AE7</f>
        <v>2091.9179790378935</v>
      </c>
      <c r="AI7" s="43">
        <f>AH7/(1-0.1)</f>
        <v>2324.3533100421037</v>
      </c>
      <c r="AJ7" s="44">
        <f>AH7/(1-0.2)</f>
        <v>2614.8974737973667</v>
      </c>
      <c r="AK7" s="66">
        <f>(AC7*1.6)/2</f>
        <v>1383.0862671324915</v>
      </c>
      <c r="AL7" s="10"/>
      <c r="AM7" s="66">
        <f t="shared" si="0"/>
        <v>1673.5343832303149</v>
      </c>
      <c r="AN7" s="66">
        <f t="shared" si="0"/>
        <v>1859.4826480336831</v>
      </c>
      <c r="AO7" s="66">
        <f t="shared" si="0"/>
        <v>2091.9179790378935</v>
      </c>
      <c r="AP7" s="10"/>
      <c r="AQ7" s="66"/>
    </row>
    <row r="8" spans="1:43" ht="56.4" x14ac:dyDescent="0.3">
      <c r="A8" s="29">
        <f t="shared" ref="A8:A20" si="1">A7+1</f>
        <v>2</v>
      </c>
      <c r="B8" s="61" t="s">
        <v>86</v>
      </c>
      <c r="C8" s="62">
        <v>1</v>
      </c>
      <c r="D8" s="63" cm="1">
        <f t="array" ref="D8">indexMaterials(H32,$P$29)</f>
        <v>0.36952432141897346</v>
      </c>
      <c r="E8" s="62" t="s">
        <v>87</v>
      </c>
      <c r="F8" s="62" cm="1">
        <f t="array" ref="F8">indexMaterials("كونتر الجسم HPL أبيض","سعر اللوح")</f>
        <v>2050</v>
      </c>
      <c r="G8" s="64">
        <f>F8*C8</f>
        <v>2050</v>
      </c>
      <c r="H8" s="62" t="str">
        <f>H31</f>
        <v>كونتر ميلامين ساندويتش</v>
      </c>
      <c r="I8" s="64" cm="1">
        <f t="array" ref="I8">D8*indexMaterials(H8,$L$29)</f>
        <v>498.85783391561415</v>
      </c>
      <c r="J8" s="63">
        <v>0.4</v>
      </c>
      <c r="K8" s="62">
        <f>G39</f>
        <v>0</v>
      </c>
      <c r="L8" s="64">
        <f>K8*J8</f>
        <v>0</v>
      </c>
      <c r="M8" s="62">
        <v>1</v>
      </c>
      <c r="N8" s="62">
        <f>G26</f>
        <v>0</v>
      </c>
      <c r="O8" s="64">
        <f>N8*M8</f>
        <v>0</v>
      </c>
      <c r="P8" s="62">
        <v>6</v>
      </c>
      <c r="Q8" s="62">
        <f>G28</f>
        <v>0</v>
      </c>
      <c r="R8" s="64">
        <f>Q8*P8</f>
        <v>0</v>
      </c>
      <c r="S8" s="62">
        <v>3</v>
      </c>
      <c r="T8" s="62">
        <f>G29</f>
        <v>0</v>
      </c>
      <c r="U8" s="64">
        <f>T8*S8</f>
        <v>0</v>
      </c>
      <c r="V8" s="64">
        <f>G27</f>
        <v>0</v>
      </c>
      <c r="W8" s="62">
        <v>25</v>
      </c>
      <c r="X8" s="62">
        <f>G32</f>
        <v>0</v>
      </c>
      <c r="Y8" s="64">
        <f>X8*W8</f>
        <v>0</v>
      </c>
      <c r="Z8" s="62">
        <v>0</v>
      </c>
      <c r="AA8" s="62"/>
      <c r="AB8" s="65">
        <f>AB12</f>
        <v>30</v>
      </c>
      <c r="AC8" s="37">
        <f>Y8+V8+U8+R8+O8+L8+I8+G8+AB8+AA8</f>
        <v>2578.8578339156143</v>
      </c>
      <c r="AD8" s="38">
        <f>AE8-AC8</f>
        <v>257.88578339156174</v>
      </c>
      <c r="AE8" s="39">
        <f>AC8*1.1</f>
        <v>2836.743617307176</v>
      </c>
      <c r="AF8" s="40">
        <v>0.1</v>
      </c>
      <c r="AG8" s="41">
        <f>AF8*AE8</f>
        <v>283.67436173071764</v>
      </c>
      <c r="AH8" s="42">
        <f>AG8+AE8</f>
        <v>3120.4179790378935</v>
      </c>
      <c r="AI8" s="43">
        <f>AH8/(1-0.1)</f>
        <v>3467.1310878198815</v>
      </c>
      <c r="AJ8" s="44">
        <f>AH8/(1-0.2)</f>
        <v>3900.5224737973667</v>
      </c>
      <c r="AK8" s="66">
        <f t="shared" ref="AK8:AK21" si="2">(AC8*1.6)/2</f>
        <v>2063.0862671324917</v>
      </c>
      <c r="AL8" s="10"/>
      <c r="AM8" s="66">
        <f t="shared" si="0"/>
        <v>2496.3343832303149</v>
      </c>
      <c r="AN8" s="66">
        <f t="shared" si="0"/>
        <v>2773.7048702559055</v>
      </c>
      <c r="AO8" s="66">
        <f t="shared" si="0"/>
        <v>3120.4179790378935</v>
      </c>
      <c r="AP8" s="10"/>
      <c r="AQ8" s="66"/>
    </row>
    <row r="9" spans="1:43" ht="33.6" x14ac:dyDescent="0.3">
      <c r="A9" s="68">
        <f t="shared" si="1"/>
        <v>3</v>
      </c>
      <c r="B9" s="94" t="s">
        <v>18</v>
      </c>
      <c r="C9" s="69">
        <v>1</v>
      </c>
      <c r="D9" s="70" cm="1">
        <f t="array" ref="D9">indexMaterials(H32,$P$29)</f>
        <v>0.36952432141897346</v>
      </c>
      <c r="E9" s="69" t="s">
        <v>87</v>
      </c>
      <c r="F9" s="69" cm="1">
        <f t="array" ref="F9">indexMaterials("كونتر الجسم HPL أبيض","سعر اللوح")</f>
        <v>2050</v>
      </c>
      <c r="G9" s="71">
        <f t="shared" ref="G9:G21" si="3">F9*C9</f>
        <v>2050</v>
      </c>
      <c r="H9" s="69" t="str">
        <f>H35</f>
        <v xml:space="preserve"> مطبخ كونتر HPL</v>
      </c>
      <c r="I9" s="71" cm="1">
        <f t="array" ref="I9">D9*indexMaterials(H9,$L$29)</f>
        <v>979.23945176027962</v>
      </c>
      <c r="J9" s="70">
        <v>0.4</v>
      </c>
      <c r="K9" s="69">
        <f>G39</f>
        <v>0</v>
      </c>
      <c r="L9" s="71">
        <f t="shared" ref="L9:L21" si="4">K9*J9</f>
        <v>0</v>
      </c>
      <c r="M9" s="69">
        <v>1</v>
      </c>
      <c r="N9" s="69">
        <f>G26</f>
        <v>0</v>
      </c>
      <c r="O9" s="71">
        <f t="shared" ref="O9:O21" si="5">N9*M9</f>
        <v>0</v>
      </c>
      <c r="P9" s="69">
        <v>6</v>
      </c>
      <c r="Q9" s="69">
        <f>G28</f>
        <v>0</v>
      </c>
      <c r="R9" s="71">
        <f t="shared" ref="R9:R21" si="6">Q9*P9</f>
        <v>0</v>
      </c>
      <c r="S9" s="69">
        <v>3</v>
      </c>
      <c r="T9" s="69">
        <f>G29</f>
        <v>0</v>
      </c>
      <c r="U9" s="71">
        <f t="shared" ref="U9:U21" si="7">T9*S9</f>
        <v>0</v>
      </c>
      <c r="V9" s="71">
        <f>G27</f>
        <v>0</v>
      </c>
      <c r="W9" s="69">
        <v>25</v>
      </c>
      <c r="X9" s="69">
        <f>G32</f>
        <v>0</v>
      </c>
      <c r="Y9" s="71">
        <f t="shared" ref="Y9:Y21" si="8">X9*W9</f>
        <v>0</v>
      </c>
      <c r="Z9" s="69"/>
      <c r="AA9" s="69"/>
      <c r="AB9" s="72">
        <v>30</v>
      </c>
      <c r="AC9" s="73">
        <f t="shared" ref="AC9:AC18" si="9">Z9+Y9+V9+U9+R9+O9+L9+I9+G9+AB9+AA9</f>
        <v>3059.2394517602797</v>
      </c>
      <c r="AD9" s="74">
        <f t="shared" ref="AD9:AD21" si="10">AE9-AC9</f>
        <v>305.92394517602816</v>
      </c>
      <c r="AE9" s="75">
        <f t="shared" ref="AE9:AE21" si="11">AC9*1.1</f>
        <v>3365.1633969363079</v>
      </c>
      <c r="AF9" s="76">
        <v>0.1</v>
      </c>
      <c r="AG9" s="77">
        <f t="shared" ref="AG9:AG21" si="12">AF9*AE9</f>
        <v>336.51633969363081</v>
      </c>
      <c r="AH9" s="78">
        <f t="shared" ref="AH9:AH21" si="13">AG9+AE9</f>
        <v>3701.6797366299388</v>
      </c>
      <c r="AI9" s="79">
        <f>AH9/(1-0.1)</f>
        <v>4112.9774851443763</v>
      </c>
      <c r="AJ9" s="78">
        <f t="shared" ref="AJ9:AJ21" si="14">AH9/(1-0.2)</f>
        <v>4627.0996707874228</v>
      </c>
      <c r="AK9" s="80">
        <f t="shared" si="2"/>
        <v>2447.3915614082239</v>
      </c>
      <c r="AL9" s="95"/>
      <c r="AM9" s="80">
        <f t="shared" si="0"/>
        <v>2961.3437893039513</v>
      </c>
      <c r="AN9" s="80">
        <f t="shared" si="0"/>
        <v>3290.3819881155014</v>
      </c>
      <c r="AO9" s="80">
        <f t="shared" si="0"/>
        <v>3701.6797366299384</v>
      </c>
      <c r="AP9" s="10"/>
      <c r="AQ9" s="66">
        <v>3300</v>
      </c>
    </row>
    <row r="10" spans="1:43" ht="33.6" x14ac:dyDescent="0.3">
      <c r="A10" s="29">
        <f t="shared" si="1"/>
        <v>4</v>
      </c>
      <c r="B10" s="30" t="s">
        <v>19</v>
      </c>
      <c r="C10" s="31">
        <v>1</v>
      </c>
      <c r="D10" s="32" cm="1">
        <f t="array" ref="D10">indexMaterials(H36,$P$29)</f>
        <v>0.32201405152224827</v>
      </c>
      <c r="E10" s="33" t="s">
        <v>87</v>
      </c>
      <c r="F10" s="33" cm="1">
        <f t="array" ref="F10">indexMaterials("كونتر الجسم HPL أبيض","سعر اللوح")</f>
        <v>2050</v>
      </c>
      <c r="G10" s="34">
        <f t="shared" si="3"/>
        <v>2050</v>
      </c>
      <c r="H10" s="31" t="str">
        <f>H36</f>
        <v>مطبخ  PVC</v>
      </c>
      <c r="I10" s="1" cm="1">
        <f t="array" ref="I10">D10*indexMaterials(H10,$L$29)</f>
        <v>966.04215456674478</v>
      </c>
      <c r="J10" s="35">
        <v>0.4</v>
      </c>
      <c r="K10" s="33">
        <f>G39</f>
        <v>0</v>
      </c>
      <c r="L10" s="34">
        <f t="shared" si="4"/>
        <v>0</v>
      </c>
      <c r="M10" s="31">
        <v>1</v>
      </c>
      <c r="N10" s="31">
        <f>G26</f>
        <v>0</v>
      </c>
      <c r="O10" s="1">
        <f t="shared" si="5"/>
        <v>0</v>
      </c>
      <c r="P10" s="33">
        <v>6</v>
      </c>
      <c r="Q10" s="33">
        <f>G28</f>
        <v>0</v>
      </c>
      <c r="R10" s="34">
        <f t="shared" si="6"/>
        <v>0</v>
      </c>
      <c r="S10" s="31">
        <v>3</v>
      </c>
      <c r="T10" s="31">
        <f>G29</f>
        <v>0</v>
      </c>
      <c r="U10" s="1">
        <f t="shared" si="7"/>
        <v>0</v>
      </c>
      <c r="V10" s="34">
        <f>G27</f>
        <v>0</v>
      </c>
      <c r="W10" s="31">
        <v>25</v>
      </c>
      <c r="X10" s="31">
        <f>G32</f>
        <v>0</v>
      </c>
      <c r="Y10" s="1">
        <f t="shared" si="8"/>
        <v>0</v>
      </c>
      <c r="Z10" s="33"/>
      <c r="AA10" s="33"/>
      <c r="AB10" s="36">
        <f>AB9</f>
        <v>30</v>
      </c>
      <c r="AC10" s="37">
        <f t="shared" si="9"/>
        <v>3046.042154566745</v>
      </c>
      <c r="AD10" s="38">
        <f t="shared" si="10"/>
        <v>304.60421545667486</v>
      </c>
      <c r="AE10" s="39">
        <f t="shared" si="11"/>
        <v>3350.6463700234199</v>
      </c>
      <c r="AF10" s="40">
        <v>0.1</v>
      </c>
      <c r="AG10" s="41">
        <f t="shared" si="12"/>
        <v>335.06463700234201</v>
      </c>
      <c r="AH10" s="42">
        <f t="shared" si="13"/>
        <v>3685.7110070257618</v>
      </c>
      <c r="AI10" s="43">
        <f t="shared" ref="AI10:AI21" si="15">AH10/(1-0.1)</f>
        <v>4095.2344522508465</v>
      </c>
      <c r="AJ10" s="44">
        <f t="shared" si="14"/>
        <v>4607.1387587822019</v>
      </c>
      <c r="AK10" s="66">
        <f t="shared" si="2"/>
        <v>2436.8337236533962</v>
      </c>
      <c r="AL10" s="10"/>
      <c r="AM10" s="66">
        <f t="shared" si="0"/>
        <v>2948.5688056206095</v>
      </c>
      <c r="AN10" s="66">
        <f t="shared" si="0"/>
        <v>3276.1875618006775</v>
      </c>
      <c r="AO10" s="66">
        <f t="shared" si="0"/>
        <v>3685.7110070257618</v>
      </c>
      <c r="AP10" s="10"/>
      <c r="AQ10" s="66">
        <v>3200</v>
      </c>
    </row>
    <row r="11" spans="1:43" ht="33.6" x14ac:dyDescent="0.3">
      <c r="A11" s="68">
        <f t="shared" si="1"/>
        <v>5</v>
      </c>
      <c r="B11" s="94" t="s">
        <v>88</v>
      </c>
      <c r="C11" s="69">
        <v>1</v>
      </c>
      <c r="D11" s="70" cm="1">
        <f t="array" ref="D11">indexMaterials(H40,$P$29)</f>
        <v>0.1870748299319728</v>
      </c>
      <c r="E11" s="69" t="s">
        <v>87</v>
      </c>
      <c r="F11" s="69" cm="1">
        <f t="array" ref="F11">indexMaterials("كونتر الجسم HPL أبيض","سعر اللوح")</f>
        <v>2050</v>
      </c>
      <c r="G11" s="71">
        <f t="shared" si="3"/>
        <v>2050</v>
      </c>
      <c r="H11" s="69" t="str">
        <f>H40</f>
        <v>مطبخ UV Lac</v>
      </c>
      <c r="I11" s="71" cm="1">
        <f t="array" ref="I11">D11*indexMaterials(H11,$L$29)</f>
        <v>1085.0340136054422</v>
      </c>
      <c r="J11" s="70">
        <v>0.4</v>
      </c>
      <c r="K11" s="69">
        <f>G39</f>
        <v>0</v>
      </c>
      <c r="L11" s="71">
        <f t="shared" si="4"/>
        <v>0</v>
      </c>
      <c r="M11" s="69">
        <v>1</v>
      </c>
      <c r="N11" s="69">
        <f>G26</f>
        <v>0</v>
      </c>
      <c r="O11" s="71">
        <f t="shared" si="5"/>
        <v>0</v>
      </c>
      <c r="P11" s="69">
        <v>6</v>
      </c>
      <c r="Q11" s="69">
        <f>G28</f>
        <v>0</v>
      </c>
      <c r="R11" s="71">
        <f t="shared" si="6"/>
        <v>0</v>
      </c>
      <c r="S11" s="69">
        <v>3</v>
      </c>
      <c r="T11" s="69">
        <f>G29</f>
        <v>0</v>
      </c>
      <c r="U11" s="71">
        <f t="shared" si="7"/>
        <v>0</v>
      </c>
      <c r="V11" s="71">
        <f>G27</f>
        <v>0</v>
      </c>
      <c r="W11" s="69">
        <v>25</v>
      </c>
      <c r="X11" s="69">
        <f>G32</f>
        <v>0</v>
      </c>
      <c r="Y11" s="71">
        <f t="shared" si="8"/>
        <v>0</v>
      </c>
      <c r="Z11" s="69"/>
      <c r="AA11" s="69"/>
      <c r="AB11" s="72">
        <f>AB9</f>
        <v>30</v>
      </c>
      <c r="AC11" s="73">
        <f t="shared" si="9"/>
        <v>3165.0340136054419</v>
      </c>
      <c r="AD11" s="74">
        <f t="shared" si="10"/>
        <v>316.50340136054456</v>
      </c>
      <c r="AE11" s="75">
        <f t="shared" si="11"/>
        <v>3481.5374149659865</v>
      </c>
      <c r="AF11" s="76">
        <v>0.1</v>
      </c>
      <c r="AG11" s="77">
        <f t="shared" si="12"/>
        <v>348.15374149659868</v>
      </c>
      <c r="AH11" s="78">
        <f t="shared" si="13"/>
        <v>3829.6911564625852</v>
      </c>
      <c r="AI11" s="79">
        <f t="shared" si="15"/>
        <v>4255.212396069539</v>
      </c>
      <c r="AJ11" s="78">
        <f t="shared" si="14"/>
        <v>4787.1139455782313</v>
      </c>
      <c r="AK11" s="80">
        <f t="shared" si="2"/>
        <v>2532.0272108843537</v>
      </c>
      <c r="AL11" s="95"/>
      <c r="AM11" s="80">
        <f t="shared" si="0"/>
        <v>3063.7529251700685</v>
      </c>
      <c r="AN11" s="80">
        <f t="shared" si="0"/>
        <v>3404.1699168556315</v>
      </c>
      <c r="AO11" s="80">
        <f t="shared" si="0"/>
        <v>3829.6911564625852</v>
      </c>
      <c r="AP11" s="59"/>
      <c r="AQ11" s="66">
        <v>3500</v>
      </c>
    </row>
    <row r="12" spans="1:43" ht="33.6" x14ac:dyDescent="0.3">
      <c r="A12" s="29">
        <f t="shared" si="1"/>
        <v>6</v>
      </c>
      <c r="B12" s="30" t="s">
        <v>23</v>
      </c>
      <c r="C12" s="31">
        <v>1</v>
      </c>
      <c r="D12" s="32" cm="1">
        <f t="array" ref="D12">indexMaterials(H41,$P$29)</f>
        <v>0.32201405152224827</v>
      </c>
      <c r="E12" s="33" t="s">
        <v>87</v>
      </c>
      <c r="F12" s="33" cm="1">
        <f t="array" ref="F12">indexMaterials("كونتر الجسم HPL أبيض","سعر اللوح")</f>
        <v>2050</v>
      </c>
      <c r="G12" s="34">
        <f t="shared" si="3"/>
        <v>2050</v>
      </c>
      <c r="H12" s="31" t="str">
        <f>H41</f>
        <v>مطبخ UV Lac 2</v>
      </c>
      <c r="I12" s="1" cm="1">
        <f t="array" ref="I12">D12*indexMaterials(H12,$L$29)</f>
        <v>1610.0702576112412</v>
      </c>
      <c r="J12" s="35">
        <v>0.4</v>
      </c>
      <c r="K12" s="33">
        <f>G39</f>
        <v>0</v>
      </c>
      <c r="L12" s="34">
        <f t="shared" si="4"/>
        <v>0</v>
      </c>
      <c r="M12" s="31">
        <v>1</v>
      </c>
      <c r="N12" s="31">
        <f>G26</f>
        <v>0</v>
      </c>
      <c r="O12" s="1">
        <f t="shared" si="5"/>
        <v>0</v>
      </c>
      <c r="P12" s="33">
        <v>6</v>
      </c>
      <c r="Q12" s="33">
        <f>G28</f>
        <v>0</v>
      </c>
      <c r="R12" s="34">
        <f t="shared" si="6"/>
        <v>0</v>
      </c>
      <c r="S12" s="31">
        <v>3</v>
      </c>
      <c r="T12" s="31">
        <f>G29</f>
        <v>0</v>
      </c>
      <c r="U12" s="1">
        <f t="shared" si="7"/>
        <v>0</v>
      </c>
      <c r="V12" s="34">
        <f>G27</f>
        <v>0</v>
      </c>
      <c r="W12" s="31">
        <v>25</v>
      </c>
      <c r="X12" s="31">
        <f>G32</f>
        <v>0</v>
      </c>
      <c r="Y12" s="1">
        <f t="shared" si="8"/>
        <v>0</v>
      </c>
      <c r="Z12" s="33"/>
      <c r="AA12" s="33"/>
      <c r="AB12" s="36">
        <f>AB10</f>
        <v>30</v>
      </c>
      <c r="AC12" s="37">
        <f t="shared" si="9"/>
        <v>3690.0702576112412</v>
      </c>
      <c r="AD12" s="38">
        <f t="shared" si="10"/>
        <v>369.00702576112462</v>
      </c>
      <c r="AE12" s="39">
        <f t="shared" si="11"/>
        <v>4059.0772833723659</v>
      </c>
      <c r="AF12" s="40">
        <v>0.1</v>
      </c>
      <c r="AG12" s="41">
        <f t="shared" si="12"/>
        <v>405.90772833723662</v>
      </c>
      <c r="AH12" s="42">
        <f t="shared" si="13"/>
        <v>4464.9850117096021</v>
      </c>
      <c r="AI12" s="43">
        <f t="shared" si="15"/>
        <v>4961.0944574551131</v>
      </c>
      <c r="AJ12" s="44">
        <f t="shared" si="14"/>
        <v>5581.2312646370019</v>
      </c>
      <c r="AK12" s="66">
        <f t="shared" si="2"/>
        <v>2952.0562060889933</v>
      </c>
      <c r="AL12" s="10"/>
      <c r="AM12" s="66">
        <f t="shared" si="0"/>
        <v>3571.988009367682</v>
      </c>
      <c r="AN12" s="66">
        <f t="shared" si="0"/>
        <v>3968.8755659640906</v>
      </c>
      <c r="AO12" s="66">
        <f t="shared" si="0"/>
        <v>4464.9850117096021</v>
      </c>
      <c r="AP12" s="60"/>
      <c r="AQ12" s="10"/>
    </row>
    <row r="13" spans="1:43" ht="33.6" x14ac:dyDescent="0.3">
      <c r="A13" s="29">
        <f t="shared" si="1"/>
        <v>7</v>
      </c>
      <c r="B13" s="30" t="s">
        <v>24</v>
      </c>
      <c r="C13" s="31">
        <v>1</v>
      </c>
      <c r="D13" s="32" cm="1">
        <f t="array" ref="D13">indexMaterials(H42,$P$29)</f>
        <v>0.1870748299319728</v>
      </c>
      <c r="E13" s="33" t="s">
        <v>87</v>
      </c>
      <c r="F13" s="33" cm="1">
        <f t="array" ref="F13">indexMaterials("كونتر الجسم HPL أبيض","سعر اللوح")</f>
        <v>2050</v>
      </c>
      <c r="G13" s="34">
        <f t="shared" si="3"/>
        <v>2050</v>
      </c>
      <c r="H13" s="31" t="str">
        <f t="shared" ref="H13:H15" si="16">H42</f>
        <v>Gloss Max</v>
      </c>
      <c r="I13" s="1" cm="1">
        <f t="array" ref="I13">D13*indexMaterials(H13,$L$29)</f>
        <v>1356.2925170068029</v>
      </c>
      <c r="J13" s="35">
        <v>0.4</v>
      </c>
      <c r="K13" s="33">
        <f>G39</f>
        <v>0</v>
      </c>
      <c r="L13" s="34">
        <f t="shared" si="4"/>
        <v>0</v>
      </c>
      <c r="M13" s="31">
        <v>1</v>
      </c>
      <c r="N13" s="31">
        <f>G26</f>
        <v>0</v>
      </c>
      <c r="O13" s="1">
        <f t="shared" si="5"/>
        <v>0</v>
      </c>
      <c r="P13" s="33">
        <v>6</v>
      </c>
      <c r="Q13" s="33">
        <f>G28</f>
        <v>0</v>
      </c>
      <c r="R13" s="34">
        <f t="shared" si="6"/>
        <v>0</v>
      </c>
      <c r="S13" s="31">
        <v>3</v>
      </c>
      <c r="T13" s="31">
        <f>G29</f>
        <v>0</v>
      </c>
      <c r="U13" s="1">
        <f t="shared" si="7"/>
        <v>0</v>
      </c>
      <c r="V13" s="34">
        <f>G27</f>
        <v>0</v>
      </c>
      <c r="W13" s="31">
        <v>25</v>
      </c>
      <c r="X13" s="31">
        <f>G31</f>
        <v>0</v>
      </c>
      <c r="Y13" s="1">
        <f t="shared" si="8"/>
        <v>0</v>
      </c>
      <c r="Z13" s="33"/>
      <c r="AA13" s="33"/>
      <c r="AB13" s="36">
        <f>AB17</f>
        <v>30</v>
      </c>
      <c r="AC13" s="37">
        <f t="shared" si="9"/>
        <v>3436.2925170068029</v>
      </c>
      <c r="AD13" s="38">
        <f t="shared" si="10"/>
        <v>343.62925170068047</v>
      </c>
      <c r="AE13" s="39">
        <f t="shared" si="11"/>
        <v>3779.9217687074834</v>
      </c>
      <c r="AF13" s="40">
        <v>0.1</v>
      </c>
      <c r="AG13" s="41">
        <f t="shared" si="12"/>
        <v>377.99217687074838</v>
      </c>
      <c r="AH13" s="42">
        <f t="shared" si="13"/>
        <v>4157.9139455782315</v>
      </c>
      <c r="AI13" s="43">
        <f t="shared" si="15"/>
        <v>4619.9043839758124</v>
      </c>
      <c r="AJ13" s="44">
        <f t="shared" si="14"/>
        <v>5197.3924319727894</v>
      </c>
      <c r="AK13" s="66">
        <f t="shared" si="2"/>
        <v>2749.0340136054424</v>
      </c>
      <c r="AL13" s="10"/>
      <c r="AM13" s="66">
        <f t="shared" si="0"/>
        <v>3326.3311564625856</v>
      </c>
      <c r="AN13" s="66">
        <f t="shared" si="0"/>
        <v>3695.9235071806502</v>
      </c>
      <c r="AO13" s="66">
        <f t="shared" si="0"/>
        <v>4157.9139455782315</v>
      </c>
      <c r="AP13" s="10"/>
      <c r="AQ13" s="66">
        <v>3500</v>
      </c>
    </row>
    <row r="14" spans="1:43" ht="33.6" x14ac:dyDescent="0.3">
      <c r="A14" s="29">
        <f t="shared" si="1"/>
        <v>8</v>
      </c>
      <c r="B14" s="61" t="s">
        <v>89</v>
      </c>
      <c r="C14" s="62">
        <v>1</v>
      </c>
      <c r="D14" s="63" cm="1">
        <f t="array" ref="D14">indexMaterials(H43,$P$29)</f>
        <v>0.32201405152224827</v>
      </c>
      <c r="E14" s="62" t="s">
        <v>87</v>
      </c>
      <c r="F14" s="62" cm="1">
        <f t="array" ref="F14">indexMaterials("كونتر الجسم HPL أبيض","سعر اللوح")</f>
        <v>2050</v>
      </c>
      <c r="G14" s="64">
        <f>F14*C14</f>
        <v>2050</v>
      </c>
      <c r="H14" s="62" t="str">
        <f t="shared" si="16"/>
        <v>Pet Ply</v>
      </c>
      <c r="I14" s="64" cm="1">
        <f t="array" ref="I14">D14*indexMaterials(H14,$L$29)</f>
        <v>1255.8548009367682</v>
      </c>
      <c r="J14" s="63">
        <v>0.4</v>
      </c>
      <c r="K14" s="62">
        <f>G39</f>
        <v>0</v>
      </c>
      <c r="L14" s="64">
        <f>K14*J14</f>
        <v>0</v>
      </c>
      <c r="M14" s="62">
        <v>1</v>
      </c>
      <c r="N14" s="62">
        <f>G26</f>
        <v>0</v>
      </c>
      <c r="O14" s="64">
        <f>N14*M14</f>
        <v>0</v>
      </c>
      <c r="P14" s="62">
        <v>6</v>
      </c>
      <c r="Q14" s="62">
        <f>G28</f>
        <v>0</v>
      </c>
      <c r="R14" s="64">
        <f>Q14*P14</f>
        <v>0</v>
      </c>
      <c r="S14" s="62">
        <v>3</v>
      </c>
      <c r="T14" s="62">
        <f>G29</f>
        <v>0</v>
      </c>
      <c r="U14" s="64">
        <f>T14*S14</f>
        <v>0</v>
      </c>
      <c r="V14" s="64">
        <f>G27</f>
        <v>0</v>
      </c>
      <c r="W14" s="62">
        <v>25</v>
      </c>
      <c r="X14" s="62">
        <f>G31</f>
        <v>0</v>
      </c>
      <c r="Y14" s="64">
        <f>X14*W14</f>
        <v>0</v>
      </c>
      <c r="Z14" s="62"/>
      <c r="AA14" s="62"/>
      <c r="AB14" s="65">
        <f>AB2</f>
        <v>0</v>
      </c>
      <c r="AC14" s="37">
        <f>Z14+Y14+V14+U14+R14+O14+L14+I14+G14+AB14+AA14</f>
        <v>3305.8548009367682</v>
      </c>
      <c r="AD14" s="38">
        <f>AE14-AC14</f>
        <v>330.58548009367723</v>
      </c>
      <c r="AE14" s="39">
        <f>AC14*1.1</f>
        <v>3636.4402810304455</v>
      </c>
      <c r="AF14" s="40">
        <v>0.1</v>
      </c>
      <c r="AG14" s="41">
        <f>AF14*AE14</f>
        <v>363.64402810304455</v>
      </c>
      <c r="AH14" s="42">
        <f>AG14+AE14</f>
        <v>4000.08430913349</v>
      </c>
      <c r="AI14" s="43">
        <f>AH14/(1-0.1)</f>
        <v>4444.538121259433</v>
      </c>
      <c r="AJ14" s="44">
        <f>AH14/(1-0.2)</f>
        <v>5000.1053864168625</v>
      </c>
      <c r="AK14" s="66">
        <f t="shared" si="2"/>
        <v>2644.6838407494147</v>
      </c>
      <c r="AL14" s="10"/>
      <c r="AM14" s="66">
        <f t="shared" si="0"/>
        <v>3200.067447306792</v>
      </c>
      <c r="AN14" s="66">
        <f t="shared" si="0"/>
        <v>3555.6304970075466</v>
      </c>
      <c r="AO14" s="66">
        <f t="shared" si="0"/>
        <v>4000.08430913349</v>
      </c>
      <c r="AP14" s="10"/>
      <c r="AQ14" s="66"/>
    </row>
    <row r="15" spans="1:43" ht="33.6" x14ac:dyDescent="0.3">
      <c r="A15" s="29">
        <f t="shared" si="1"/>
        <v>9</v>
      </c>
      <c r="B15" s="81" t="s">
        <v>26</v>
      </c>
      <c r="C15" s="82">
        <v>1</v>
      </c>
      <c r="D15" s="83" cm="1">
        <f t="array" ref="D15">indexMaterials(H44,$P$29)</f>
        <v>0.32201405152224827</v>
      </c>
      <c r="E15" s="82" t="s">
        <v>87</v>
      </c>
      <c r="F15" s="82" cm="1">
        <f t="array" ref="F15">indexMaterials("كونتر الجسم HPL أبيض","سعر اللوح")</f>
        <v>2050</v>
      </c>
      <c r="G15" s="84">
        <f>F15*C15</f>
        <v>2050</v>
      </c>
      <c r="H15" s="82" t="str">
        <f t="shared" si="16"/>
        <v>Poly Plus</v>
      </c>
      <c r="I15" s="84" cm="1">
        <f t="array" ref="I15">D15*indexMaterials(H15,$L$29)</f>
        <v>1803.2786885245903</v>
      </c>
      <c r="J15" s="83">
        <v>0.4</v>
      </c>
      <c r="K15" s="82">
        <f>G39</f>
        <v>0</v>
      </c>
      <c r="L15" s="84">
        <f>K15*J15</f>
        <v>0</v>
      </c>
      <c r="M15" s="82">
        <v>1</v>
      </c>
      <c r="N15" s="82">
        <f>G26</f>
        <v>0</v>
      </c>
      <c r="O15" s="84">
        <f>N15*M15</f>
        <v>0</v>
      </c>
      <c r="P15" s="82">
        <v>6</v>
      </c>
      <c r="Q15" s="82">
        <f>G28</f>
        <v>0</v>
      </c>
      <c r="R15" s="84">
        <f>Q15*P15</f>
        <v>0</v>
      </c>
      <c r="S15" s="82">
        <v>3</v>
      </c>
      <c r="T15" s="82">
        <f>G29</f>
        <v>0</v>
      </c>
      <c r="U15" s="84">
        <f>T15*S15</f>
        <v>0</v>
      </c>
      <c r="V15" s="84">
        <f>G27</f>
        <v>0</v>
      </c>
      <c r="W15" s="82">
        <v>25</v>
      </c>
      <c r="X15" s="82">
        <f>G31</f>
        <v>0</v>
      </c>
      <c r="Y15" s="84">
        <f>X15*W15</f>
        <v>0</v>
      </c>
      <c r="Z15" s="82"/>
      <c r="AA15" s="82"/>
      <c r="AB15" s="85">
        <f>AB7</f>
        <v>30</v>
      </c>
      <c r="AC15" s="86">
        <f>Z15+Y15+V15+U15+R15+O15+L15+I15+G15+AB15+AA15</f>
        <v>3883.2786885245905</v>
      </c>
      <c r="AD15" s="87">
        <f>AE15-AC15</f>
        <v>388.32786885245969</v>
      </c>
      <c r="AE15" s="88">
        <f>AC15*1.1</f>
        <v>4271.6065573770502</v>
      </c>
      <c r="AF15" s="89">
        <v>0.1</v>
      </c>
      <c r="AG15" s="90">
        <f>AF15*AE15</f>
        <v>427.16065573770504</v>
      </c>
      <c r="AH15" s="91">
        <f>AG15+AE15</f>
        <v>4698.7672131147556</v>
      </c>
      <c r="AI15" s="92">
        <f>AH15/(1-0.1)</f>
        <v>5220.8524590163952</v>
      </c>
      <c r="AJ15" s="91">
        <f>AH15/(1-0.2)</f>
        <v>5873.4590163934445</v>
      </c>
      <c r="AK15" s="93">
        <f t="shared" si="2"/>
        <v>3106.6229508196725</v>
      </c>
      <c r="AL15" s="110"/>
      <c r="AM15" s="93">
        <f t="shared" si="0"/>
        <v>3759.0137704918047</v>
      </c>
      <c r="AN15" s="93">
        <f t="shared" si="0"/>
        <v>4176.681967213116</v>
      </c>
      <c r="AO15" s="93">
        <f t="shared" si="0"/>
        <v>4698.7672131147556</v>
      </c>
      <c r="AP15" s="10"/>
      <c r="AQ15" s="66"/>
    </row>
    <row r="16" spans="1:43" ht="33.6" x14ac:dyDescent="0.3">
      <c r="A16" s="29">
        <f t="shared" si="1"/>
        <v>10</v>
      </c>
      <c r="B16" s="30" t="s">
        <v>21</v>
      </c>
      <c r="C16" s="31">
        <v>1</v>
      </c>
      <c r="D16" s="32" cm="1">
        <f t="array" ref="D16">indexMaterials(H37,$P$29)</f>
        <v>0.32201405152224827</v>
      </c>
      <c r="E16" s="33" t="s">
        <v>87</v>
      </c>
      <c r="F16" s="33" cm="1">
        <f t="array" ref="F16">indexMaterials("كونتر الجسم HPL أبيض","سعر اللوح")</f>
        <v>2050</v>
      </c>
      <c r="G16" s="34">
        <f>F16*C16</f>
        <v>2050</v>
      </c>
      <c r="H16" s="31" t="str">
        <f>H38</f>
        <v>مطبخ Polylac هندى</v>
      </c>
      <c r="I16" s="1" cm="1">
        <f t="array" ref="I16">D16*indexMaterials(H16,$L$29)</f>
        <v>2028.688524590164</v>
      </c>
      <c r="J16" s="35">
        <v>0.4</v>
      </c>
      <c r="K16" s="33">
        <f>G39</f>
        <v>0</v>
      </c>
      <c r="L16" s="34">
        <f>K16*J16</f>
        <v>0</v>
      </c>
      <c r="M16" s="31">
        <v>1</v>
      </c>
      <c r="N16" s="31">
        <f>G26</f>
        <v>0</v>
      </c>
      <c r="O16" s="1">
        <f>N16*M16</f>
        <v>0</v>
      </c>
      <c r="P16" s="33">
        <v>6</v>
      </c>
      <c r="Q16" s="33">
        <f>G28</f>
        <v>0</v>
      </c>
      <c r="R16" s="64">
        <f>Q16*P16</f>
        <v>0</v>
      </c>
      <c r="S16" s="62">
        <v>3</v>
      </c>
      <c r="T16" s="62">
        <f>G29</f>
        <v>0</v>
      </c>
      <c r="U16" s="64">
        <f>T16*S16</f>
        <v>0</v>
      </c>
      <c r="V16" s="64">
        <f>G27</f>
        <v>0</v>
      </c>
      <c r="W16" s="62">
        <v>25</v>
      </c>
      <c r="X16" s="62">
        <f>G31</f>
        <v>0</v>
      </c>
      <c r="Y16" s="64">
        <f>X16*W16</f>
        <v>0</v>
      </c>
      <c r="Z16" s="62"/>
      <c r="AA16" s="62"/>
      <c r="AB16" s="65">
        <f>AB8</f>
        <v>30</v>
      </c>
      <c r="AC16" s="37">
        <f>Z16+Y16+V16+U16+R16+O16+L16+I16+G16+AB16+AA16</f>
        <v>4108.688524590164</v>
      </c>
      <c r="AD16" s="38">
        <f>AE16-AC16</f>
        <v>410.86885245901703</v>
      </c>
      <c r="AE16" s="39">
        <f>AC16*1.1</f>
        <v>4519.557377049181</v>
      </c>
      <c r="AF16" s="40">
        <v>0.1</v>
      </c>
      <c r="AG16" s="41">
        <f>AF16*AE16</f>
        <v>451.95573770491814</v>
      </c>
      <c r="AH16" s="42">
        <f>AG16+AE16</f>
        <v>4971.5131147540988</v>
      </c>
      <c r="AI16" s="43">
        <f>AH16/(1-0.1)</f>
        <v>5523.903460837887</v>
      </c>
      <c r="AJ16" s="44">
        <f>AH16/(1-0.2)</f>
        <v>6214.3913934426228</v>
      </c>
      <c r="AK16" s="66">
        <f t="shared" si="2"/>
        <v>3286.9508196721313</v>
      </c>
      <c r="AL16" s="10"/>
      <c r="AM16" s="66">
        <f t="shared" si="0"/>
        <v>3977.2104918032792</v>
      </c>
      <c r="AN16" s="66">
        <f t="shared" si="0"/>
        <v>4419.1227686703096</v>
      </c>
      <c r="AO16" s="66">
        <f t="shared" si="0"/>
        <v>4971.5131147540988</v>
      </c>
      <c r="AP16" s="10"/>
      <c r="AQ16" s="66">
        <v>3350</v>
      </c>
    </row>
    <row r="17" spans="1:43" ht="33.6" x14ac:dyDescent="0.3">
      <c r="A17" s="29">
        <f t="shared" si="1"/>
        <v>11</v>
      </c>
      <c r="B17" s="94" t="s">
        <v>20</v>
      </c>
      <c r="C17" s="69">
        <v>1</v>
      </c>
      <c r="D17" s="70" cm="1">
        <f t="array" ref="D17">indexMaterials(H37,$P$29)</f>
        <v>0.32201405152224827</v>
      </c>
      <c r="E17" s="69" t="s">
        <v>87</v>
      </c>
      <c r="F17" s="69" cm="1">
        <f t="array" ref="F17">indexMaterials("كونتر الجسم HPL أبيض","سعر اللوح")</f>
        <v>2050</v>
      </c>
      <c r="G17" s="71">
        <f>F17*C17</f>
        <v>2050</v>
      </c>
      <c r="H17" s="69" t="str">
        <f>H37</f>
        <v>مطبخ Polylac تركى</v>
      </c>
      <c r="I17" s="71" cm="1">
        <f t="array" ref="I17">D17*indexMaterials(H17,$L$29)</f>
        <v>2254.0983606557379</v>
      </c>
      <c r="J17" s="70">
        <v>0.4</v>
      </c>
      <c r="K17" s="69">
        <f>G39</f>
        <v>0</v>
      </c>
      <c r="L17" s="71">
        <f>K17*J17</f>
        <v>0</v>
      </c>
      <c r="M17" s="69">
        <v>1</v>
      </c>
      <c r="N17" s="69">
        <f>G26</f>
        <v>0</v>
      </c>
      <c r="O17" s="71">
        <f>N17*M17</f>
        <v>0</v>
      </c>
      <c r="P17" s="69">
        <v>6</v>
      </c>
      <c r="Q17" s="69">
        <f>G28</f>
        <v>0</v>
      </c>
      <c r="R17" s="71">
        <f>Q17*P17</f>
        <v>0</v>
      </c>
      <c r="S17" s="69">
        <v>3</v>
      </c>
      <c r="T17" s="69">
        <f>G29</f>
        <v>0</v>
      </c>
      <c r="U17" s="71">
        <f>T17*S17</f>
        <v>0</v>
      </c>
      <c r="V17" s="71">
        <f>G27</f>
        <v>0</v>
      </c>
      <c r="W17" s="69">
        <v>25</v>
      </c>
      <c r="X17" s="69">
        <f>G32</f>
        <v>0</v>
      </c>
      <c r="Y17" s="71">
        <f>X17*W17</f>
        <v>0</v>
      </c>
      <c r="Z17" s="69"/>
      <c r="AA17" s="69"/>
      <c r="AB17" s="72">
        <f>AB9</f>
        <v>30</v>
      </c>
      <c r="AC17" s="73">
        <f>Z17+Y17+V17+U17+R17+O17+L17+I17+G17+AB17+AA17</f>
        <v>4334.0983606557384</v>
      </c>
      <c r="AD17" s="74">
        <f>AE17-AC17</f>
        <v>433.40983606557438</v>
      </c>
      <c r="AE17" s="75">
        <f>AC17*1.1</f>
        <v>4767.5081967213127</v>
      </c>
      <c r="AF17" s="76">
        <v>0.1</v>
      </c>
      <c r="AG17" s="77">
        <f>AF17*AE17</f>
        <v>476.75081967213129</v>
      </c>
      <c r="AH17" s="78">
        <f>AG17+AE17</f>
        <v>5244.2590163934437</v>
      </c>
      <c r="AI17" s="79">
        <f>AH17/(1-0.1)</f>
        <v>5826.9544626593815</v>
      </c>
      <c r="AJ17" s="78">
        <f>AH17/(1-0.2)</f>
        <v>6555.3237704918047</v>
      </c>
      <c r="AK17" s="80">
        <f t="shared" si="2"/>
        <v>3467.278688524591</v>
      </c>
      <c r="AL17" s="95"/>
      <c r="AM17" s="80">
        <f t="shared" si="0"/>
        <v>4195.407213114755</v>
      </c>
      <c r="AN17" s="80">
        <f t="shared" si="0"/>
        <v>4661.563570127505</v>
      </c>
      <c r="AO17" s="80">
        <f t="shared" si="0"/>
        <v>5244.2590163934437</v>
      </c>
      <c r="AP17" s="10"/>
      <c r="AQ17" s="66">
        <v>3800</v>
      </c>
    </row>
    <row r="18" spans="1:43" ht="33.6" x14ac:dyDescent="0.3">
      <c r="A18" s="29">
        <f t="shared" si="1"/>
        <v>12</v>
      </c>
      <c r="B18" s="30" t="s">
        <v>28</v>
      </c>
      <c r="C18" s="31">
        <v>1</v>
      </c>
      <c r="D18" s="32" cm="1">
        <f t="array" ref="D18">indexMaterials(H49,$P$29)</f>
        <v>0.32201405152224827</v>
      </c>
      <c r="E18" s="33" t="s">
        <v>87</v>
      </c>
      <c r="F18" s="33" cm="1">
        <f t="array" ref="F18">indexMaterials("كونتر الجسم HPL أبيض","سعر اللوح")</f>
        <v>2050</v>
      </c>
      <c r="G18" s="34">
        <f t="shared" si="3"/>
        <v>2050</v>
      </c>
      <c r="H18" s="31" t="str">
        <f>H49</f>
        <v>مطبخ أكلريك</v>
      </c>
      <c r="I18" s="1" cm="1">
        <f t="array" ref="I18">D18*indexMaterials(H18,$L$29)</f>
        <v>1449.0632318501173</v>
      </c>
      <c r="J18" s="35">
        <v>0.4</v>
      </c>
      <c r="K18" s="33">
        <f>G39</f>
        <v>0</v>
      </c>
      <c r="L18" s="34">
        <f t="shared" si="4"/>
        <v>0</v>
      </c>
      <c r="M18" s="31">
        <v>1</v>
      </c>
      <c r="N18" s="31">
        <f>G26</f>
        <v>0</v>
      </c>
      <c r="O18" s="1">
        <f t="shared" si="5"/>
        <v>0</v>
      </c>
      <c r="P18" s="33">
        <v>6</v>
      </c>
      <c r="Q18" s="33">
        <f>G28</f>
        <v>0</v>
      </c>
      <c r="R18" s="34">
        <f t="shared" si="6"/>
        <v>0</v>
      </c>
      <c r="S18" s="31">
        <v>3</v>
      </c>
      <c r="T18" s="31">
        <f>G29</f>
        <v>0</v>
      </c>
      <c r="U18" s="1">
        <f t="shared" si="7"/>
        <v>0</v>
      </c>
      <c r="V18" s="34">
        <f>G27</f>
        <v>0</v>
      </c>
      <c r="W18" s="31">
        <v>25</v>
      </c>
      <c r="X18" s="31">
        <f>G32</f>
        <v>0</v>
      </c>
      <c r="Y18" s="1">
        <f t="shared" si="8"/>
        <v>0</v>
      </c>
      <c r="Z18" s="33"/>
      <c r="AA18" s="33"/>
      <c r="AB18" s="36">
        <f>AB9</f>
        <v>30</v>
      </c>
      <c r="AC18" s="37">
        <f t="shared" si="9"/>
        <v>3529.0632318501175</v>
      </c>
      <c r="AD18" s="38">
        <f t="shared" si="10"/>
        <v>352.90632318501184</v>
      </c>
      <c r="AE18" s="39">
        <f t="shared" si="11"/>
        <v>3881.9695550351294</v>
      </c>
      <c r="AF18" s="40">
        <v>0.1</v>
      </c>
      <c r="AG18" s="41">
        <f t="shared" si="12"/>
        <v>388.19695550351298</v>
      </c>
      <c r="AH18" s="42">
        <f t="shared" si="13"/>
        <v>4270.1665105386419</v>
      </c>
      <c r="AI18" s="43">
        <f t="shared" si="15"/>
        <v>4744.6294561540462</v>
      </c>
      <c r="AJ18" s="44">
        <f t="shared" si="14"/>
        <v>5337.7081381733024</v>
      </c>
      <c r="AK18" s="66">
        <f t="shared" si="2"/>
        <v>2823.2505854800943</v>
      </c>
      <c r="AL18" s="10"/>
      <c r="AM18" s="66">
        <f t="shared" si="0"/>
        <v>3416.1332084309138</v>
      </c>
      <c r="AN18" s="66">
        <f t="shared" si="0"/>
        <v>3795.7035649232371</v>
      </c>
      <c r="AO18" s="66">
        <f t="shared" si="0"/>
        <v>4270.1665105386419</v>
      </c>
      <c r="AP18" s="10"/>
      <c r="AQ18" s="66"/>
    </row>
    <row r="19" spans="1:43" ht="33.6" x14ac:dyDescent="0.3">
      <c r="A19" s="29">
        <f t="shared" si="1"/>
        <v>13</v>
      </c>
      <c r="B19" s="30" t="s">
        <v>90</v>
      </c>
      <c r="C19" s="31">
        <v>1</v>
      </c>
      <c r="D19" s="32">
        <v>2.6</v>
      </c>
      <c r="E19" s="33" t="s">
        <v>87</v>
      </c>
      <c r="F19" s="33" cm="1">
        <f t="array" ref="F19">indexMaterials("كونتر الجسم HPL أبيض","سعر اللوح")</f>
        <v>2050</v>
      </c>
      <c r="G19" s="34">
        <f t="shared" si="3"/>
        <v>2050</v>
      </c>
      <c r="H19" s="31" t="str">
        <f t="shared" ref="H19:H20" si="17">H50</f>
        <v>دلفة موسكى</v>
      </c>
      <c r="I19" s="1" cm="1">
        <f t="array" ref="I19">D19*indexMaterials(H19,$L$29)</f>
        <v>910</v>
      </c>
      <c r="J19" s="35">
        <v>0.4</v>
      </c>
      <c r="K19" s="33">
        <f>G39</f>
        <v>0</v>
      </c>
      <c r="L19" s="34">
        <f t="shared" si="4"/>
        <v>0</v>
      </c>
      <c r="M19" s="31">
        <v>1</v>
      </c>
      <c r="N19" s="31">
        <f>G26</f>
        <v>0</v>
      </c>
      <c r="O19" s="1">
        <f t="shared" si="5"/>
        <v>0</v>
      </c>
      <c r="P19" s="33">
        <v>6</v>
      </c>
      <c r="Q19" s="33">
        <f>G28</f>
        <v>0</v>
      </c>
      <c r="R19" s="34">
        <f t="shared" si="6"/>
        <v>0</v>
      </c>
      <c r="S19" s="31">
        <v>3</v>
      </c>
      <c r="T19" s="31">
        <f>G29</f>
        <v>0</v>
      </c>
      <c r="U19" s="1">
        <f t="shared" si="7"/>
        <v>0</v>
      </c>
      <c r="V19" s="34">
        <f>G27</f>
        <v>0</v>
      </c>
      <c r="W19" s="31">
        <v>18</v>
      </c>
      <c r="X19" s="31">
        <f>G32</f>
        <v>0</v>
      </c>
      <c r="Y19" s="1">
        <f t="shared" si="8"/>
        <v>0</v>
      </c>
      <c r="Z19" s="33">
        <v>1</v>
      </c>
      <c r="AA19" s="33">
        <v>1000</v>
      </c>
      <c r="AB19" s="36">
        <f>AB10</f>
        <v>30</v>
      </c>
      <c r="AC19" s="37">
        <f>Y19+V19+U19+R19+O19+L19+I19+G19+AB19+AA19</f>
        <v>3990</v>
      </c>
      <c r="AD19" s="38">
        <f t="shared" si="10"/>
        <v>399</v>
      </c>
      <c r="AE19" s="39">
        <f t="shared" si="11"/>
        <v>4389</v>
      </c>
      <c r="AF19" s="40">
        <v>0.1</v>
      </c>
      <c r="AG19" s="41">
        <f t="shared" si="12"/>
        <v>438.90000000000003</v>
      </c>
      <c r="AH19" s="42">
        <f t="shared" si="13"/>
        <v>4827.8999999999996</v>
      </c>
      <c r="AI19" s="43">
        <f t="shared" si="15"/>
        <v>5364.333333333333</v>
      </c>
      <c r="AJ19" s="44">
        <f t="shared" si="14"/>
        <v>6034.8749999999991</v>
      </c>
      <c r="AK19" s="66">
        <f t="shared" si="2"/>
        <v>3192</v>
      </c>
      <c r="AL19" s="10"/>
      <c r="AM19" s="66">
        <f t="shared" si="0"/>
        <v>3862.3199999999997</v>
      </c>
      <c r="AN19" s="66">
        <f t="shared" si="0"/>
        <v>4291.4666666666662</v>
      </c>
      <c r="AO19" s="66">
        <f t="shared" si="0"/>
        <v>4827.8999999999996</v>
      </c>
      <c r="AP19" s="10"/>
      <c r="AQ19" s="66"/>
    </row>
    <row r="20" spans="1:43" ht="33.6" x14ac:dyDescent="0.3">
      <c r="A20" s="29">
        <f t="shared" si="1"/>
        <v>14</v>
      </c>
      <c r="B20" s="30" t="s">
        <v>91</v>
      </c>
      <c r="C20" s="31">
        <v>1</v>
      </c>
      <c r="D20" s="32">
        <v>2.6</v>
      </c>
      <c r="E20" s="33" t="s">
        <v>87</v>
      </c>
      <c r="F20" s="33" cm="1">
        <f t="array" ref="F20">indexMaterials(" مطبخ كونتر HPL","سعر اللوح")</f>
        <v>2650</v>
      </c>
      <c r="G20" s="34">
        <f t="shared" si="3"/>
        <v>2650</v>
      </c>
      <c r="H20" s="31" t="str">
        <f t="shared" si="17"/>
        <v>دلفة ارو</v>
      </c>
      <c r="I20" s="1" cm="1">
        <f t="array" ref="I20">D20*indexMaterials(H20,$L$29)</f>
        <v>3120</v>
      </c>
      <c r="J20" s="35">
        <v>0.4</v>
      </c>
      <c r="K20" s="33">
        <f>G39</f>
        <v>0</v>
      </c>
      <c r="L20" s="34">
        <f t="shared" si="4"/>
        <v>0</v>
      </c>
      <c r="M20" s="31">
        <v>1</v>
      </c>
      <c r="N20" s="31">
        <f>G26</f>
        <v>0</v>
      </c>
      <c r="O20" s="1">
        <f t="shared" si="5"/>
        <v>0</v>
      </c>
      <c r="P20" s="33">
        <v>6</v>
      </c>
      <c r="Q20" s="33">
        <f>G28</f>
        <v>0</v>
      </c>
      <c r="R20" s="34">
        <f t="shared" si="6"/>
        <v>0</v>
      </c>
      <c r="S20" s="31">
        <v>3</v>
      </c>
      <c r="T20" s="31">
        <f>G29</f>
        <v>0</v>
      </c>
      <c r="U20" s="1">
        <f t="shared" si="7"/>
        <v>0</v>
      </c>
      <c r="V20" s="34">
        <f>G27</f>
        <v>0</v>
      </c>
      <c r="W20" s="31">
        <v>18</v>
      </c>
      <c r="X20" s="31">
        <f>G32</f>
        <v>0</v>
      </c>
      <c r="Y20" s="1">
        <f t="shared" si="8"/>
        <v>0</v>
      </c>
      <c r="Z20" s="33">
        <v>1</v>
      </c>
      <c r="AA20" s="33">
        <v>1000</v>
      </c>
      <c r="AB20" s="36">
        <f>AB11</f>
        <v>30</v>
      </c>
      <c r="AC20" s="37">
        <f>Y20+V20+U20+R20+O20+L20+I20+G20+AB20+AA20</f>
        <v>6800</v>
      </c>
      <c r="AD20" s="38">
        <f t="shared" si="10"/>
        <v>680.00000000000091</v>
      </c>
      <c r="AE20" s="39">
        <f t="shared" si="11"/>
        <v>7480.0000000000009</v>
      </c>
      <c r="AF20" s="40">
        <v>0.1</v>
      </c>
      <c r="AG20" s="41">
        <f t="shared" si="12"/>
        <v>748.00000000000011</v>
      </c>
      <c r="AH20" s="42">
        <f t="shared" si="13"/>
        <v>8228.0000000000018</v>
      </c>
      <c r="AI20" s="43">
        <f t="shared" si="15"/>
        <v>9142.2222222222244</v>
      </c>
      <c r="AJ20" s="44">
        <f t="shared" si="14"/>
        <v>10285.000000000002</v>
      </c>
      <c r="AK20" s="66">
        <f t="shared" si="2"/>
        <v>5440</v>
      </c>
      <c r="AL20" s="10"/>
      <c r="AM20" s="66">
        <f t="shared" si="0"/>
        <v>6582.4000000000015</v>
      </c>
      <c r="AN20" s="66">
        <f t="shared" si="0"/>
        <v>7313.7777777777801</v>
      </c>
      <c r="AO20" s="66">
        <f t="shared" si="0"/>
        <v>8228.0000000000018</v>
      </c>
      <c r="AP20" s="10"/>
      <c r="AQ20" s="66"/>
    </row>
    <row r="21" spans="1:43" ht="33.6" x14ac:dyDescent="0.3">
      <c r="A21" s="29">
        <f>A19+1</f>
        <v>14</v>
      </c>
      <c r="B21" s="30" t="s">
        <v>92</v>
      </c>
      <c r="C21" s="31">
        <v>1</v>
      </c>
      <c r="D21" s="32" cm="1">
        <f t="array" ref="D21">indexMaterials(H30,$P$29)</f>
        <v>0.36952432141897346</v>
      </c>
      <c r="E21" s="33" t="s">
        <v>12</v>
      </c>
      <c r="F21" s="33" cm="1">
        <f t="array" ref="F21">indexMaterials("كونتر ميلامين ساندويتش","سعر اللوح")</f>
        <v>1350</v>
      </c>
      <c r="G21" s="34">
        <f t="shared" si="3"/>
        <v>1350</v>
      </c>
      <c r="H21" s="31" t="str">
        <f>H30</f>
        <v xml:space="preserve">كونتر ميلامين </v>
      </c>
      <c r="I21" s="1" cm="1">
        <f t="array" ref="I21">D21*indexMaterials(H21,$L$29)</f>
        <v>443.42918570276817</v>
      </c>
      <c r="J21" s="35">
        <v>0.4</v>
      </c>
      <c r="K21" s="33">
        <f>G39</f>
        <v>0</v>
      </c>
      <c r="L21" s="34">
        <f t="shared" si="4"/>
        <v>0</v>
      </c>
      <c r="M21" s="31">
        <v>1</v>
      </c>
      <c r="N21" s="31">
        <f>G26</f>
        <v>0</v>
      </c>
      <c r="O21" s="1">
        <f t="shared" si="5"/>
        <v>0</v>
      </c>
      <c r="P21" s="33">
        <v>6</v>
      </c>
      <c r="Q21" s="33">
        <f>G28</f>
        <v>0</v>
      </c>
      <c r="R21" s="34">
        <f t="shared" si="6"/>
        <v>0</v>
      </c>
      <c r="S21" s="31">
        <v>3</v>
      </c>
      <c r="T21" s="31">
        <f>G29</f>
        <v>0</v>
      </c>
      <c r="U21" s="1">
        <f t="shared" si="7"/>
        <v>0</v>
      </c>
      <c r="V21" s="34">
        <f>G27</f>
        <v>0</v>
      </c>
      <c r="W21" s="31">
        <v>25</v>
      </c>
      <c r="X21" s="31">
        <f>G32</f>
        <v>0</v>
      </c>
      <c r="Y21" s="1">
        <f t="shared" si="8"/>
        <v>0</v>
      </c>
      <c r="Z21" s="33">
        <v>0</v>
      </c>
      <c r="AA21" s="33"/>
      <c r="AB21" s="36">
        <f>AB17</f>
        <v>30</v>
      </c>
      <c r="AC21" s="37">
        <f>Y21+V21+U21+R21+O21+L21+I21+G21+AB21+AA21</f>
        <v>1823.4291857027681</v>
      </c>
      <c r="AD21" s="38">
        <f t="shared" si="10"/>
        <v>182.34291857027688</v>
      </c>
      <c r="AE21" s="39">
        <f t="shared" si="11"/>
        <v>2005.772104273045</v>
      </c>
      <c r="AF21" s="40">
        <v>0.1</v>
      </c>
      <c r="AG21" s="41">
        <f t="shared" si="12"/>
        <v>200.57721042730452</v>
      </c>
      <c r="AH21" s="42">
        <f t="shared" si="13"/>
        <v>2206.3493147003496</v>
      </c>
      <c r="AI21" s="43">
        <f t="shared" si="15"/>
        <v>2451.499238555944</v>
      </c>
      <c r="AJ21" s="44">
        <f t="shared" si="14"/>
        <v>2757.9366433754367</v>
      </c>
      <c r="AK21" s="66">
        <f t="shared" si="2"/>
        <v>1458.7433485622146</v>
      </c>
      <c r="AL21" s="10"/>
      <c r="AM21" s="66">
        <f t="shared" si="0"/>
        <v>1765.0794517602799</v>
      </c>
      <c r="AN21" s="66">
        <f t="shared" si="0"/>
        <v>1961.1993908447553</v>
      </c>
      <c r="AO21" s="66">
        <f t="shared" si="0"/>
        <v>2206.3493147003496</v>
      </c>
      <c r="AP21" s="10"/>
      <c r="AQ21" s="66"/>
    </row>
    <row r="22" spans="1:43" ht="33.6" x14ac:dyDescent="0.3">
      <c r="A22" s="29"/>
      <c r="B22" s="30"/>
      <c r="C22" s="31"/>
      <c r="D22" s="32"/>
      <c r="E22" s="33"/>
      <c r="F22" s="33"/>
      <c r="G22" s="34"/>
      <c r="H22" s="31"/>
      <c r="I22" s="1" t="e" cm="1">
        <f t="array" ref="I22">D22*indexMaterials(H22,$L$29)</f>
        <v>#N/A</v>
      </c>
      <c r="J22" s="35"/>
      <c r="K22" s="33"/>
      <c r="L22" s="34"/>
      <c r="M22" s="31"/>
      <c r="N22" s="31"/>
      <c r="O22" s="1"/>
      <c r="P22" s="33"/>
      <c r="Q22" s="33"/>
      <c r="R22" s="34"/>
      <c r="S22" s="31"/>
      <c r="T22" s="31"/>
      <c r="U22" s="1"/>
      <c r="V22" s="34"/>
      <c r="W22" s="31"/>
      <c r="X22" s="31"/>
      <c r="Y22" s="1"/>
      <c r="Z22" s="33"/>
      <c r="AA22" s="33"/>
      <c r="AB22" s="36"/>
      <c r="AC22" s="37"/>
      <c r="AD22" s="38"/>
      <c r="AE22" s="39"/>
      <c r="AF22" s="40"/>
      <c r="AG22" s="41"/>
      <c r="AH22" s="42"/>
      <c r="AI22" s="43"/>
      <c r="AJ22" s="44"/>
      <c r="AK22" s="111"/>
      <c r="AL22" s="10"/>
      <c r="AM22" s="10"/>
      <c r="AN22" s="10"/>
      <c r="AO22" s="10"/>
      <c r="AP22" s="10"/>
      <c r="AQ22" s="66"/>
    </row>
    <row r="23" spans="1:43" ht="34.200000000000003" thickBot="1" x14ac:dyDescent="0.35">
      <c r="A23" s="45"/>
      <c r="B23" s="46"/>
      <c r="C23" s="47"/>
      <c r="D23" s="47"/>
      <c r="E23" s="48"/>
      <c r="F23" s="48"/>
      <c r="G23" s="48"/>
      <c r="H23" s="47"/>
      <c r="I23" s="47" t="e" cm="1">
        <f t="array" ref="I23">D23*indexMaterials(H23,$L$29)</f>
        <v>#N/A</v>
      </c>
      <c r="J23" s="48"/>
      <c r="K23" s="48"/>
      <c r="L23" s="48"/>
      <c r="M23" s="47"/>
      <c r="N23" s="47"/>
      <c r="O23" s="47"/>
      <c r="P23" s="48"/>
      <c r="Q23" s="48"/>
      <c r="R23" s="48"/>
      <c r="S23" s="47"/>
      <c r="T23" s="47"/>
      <c r="U23" s="47"/>
      <c r="V23" s="48"/>
      <c r="W23" s="47"/>
      <c r="X23" s="47"/>
      <c r="Y23" s="47"/>
      <c r="Z23" s="48"/>
      <c r="AA23" s="48"/>
      <c r="AB23" s="49"/>
      <c r="AC23" s="50"/>
      <c r="AD23" s="51"/>
      <c r="AE23" s="52"/>
      <c r="AF23" s="53"/>
      <c r="AG23" s="54"/>
      <c r="AH23" s="55"/>
      <c r="AI23" s="56"/>
      <c r="AJ23" s="57"/>
      <c r="AK23" s="109"/>
      <c r="AL23" s="10"/>
      <c r="AM23" s="10"/>
      <c r="AN23" s="10"/>
      <c r="AO23" s="10"/>
      <c r="AP23" s="10"/>
      <c r="AQ23" s="66"/>
    </row>
    <row r="25" spans="1:43" ht="18" x14ac:dyDescent="0.3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</row>
    <row r="26" spans="1:43" ht="18" x14ac:dyDescent="0.3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</row>
    <row r="27" spans="1:43" ht="18" x14ac:dyDescent="0.3">
      <c r="A27" s="96"/>
      <c r="B27" s="96" t="str" cm="1">
        <f t="array" ref="B27:D34">globalPrices[]</f>
        <v>مصنعية</v>
      </c>
      <c r="C27" s="96">
        <v>0</v>
      </c>
      <c r="D27" s="96">
        <v>300</v>
      </c>
      <c r="E27" s="96"/>
      <c r="F27" s="96"/>
      <c r="G27" s="96"/>
      <c r="Q27" s="96"/>
    </row>
    <row r="28" spans="1:43" ht="18" x14ac:dyDescent="0.3">
      <c r="A28" s="96"/>
      <c r="B28" s="96" t="str">
        <v>اكسسوار + غراء و مسمار + مجرى</v>
      </c>
      <c r="C28" s="96">
        <v>0</v>
      </c>
      <c r="D28" s="96">
        <v>150</v>
      </c>
      <c r="E28" s="96"/>
      <c r="F28" s="96"/>
      <c r="G28" s="96"/>
      <c r="Q28" s="96"/>
    </row>
    <row r="29" spans="1:43" ht="18" x14ac:dyDescent="0.3">
      <c r="A29" s="96"/>
      <c r="B29" s="96" t="str">
        <v>مفصلة</v>
      </c>
      <c r="C29" s="96">
        <v>0</v>
      </c>
      <c r="D29" s="96">
        <v>35</v>
      </c>
      <c r="E29" s="96"/>
      <c r="F29" s="96"/>
      <c r="G29" s="96"/>
      <c r="H29" s="96" t="str" cm="1">
        <f t="array" ref="H29:P73">materials[#All]</f>
        <v>توصيف</v>
      </c>
      <c r="I29" s="96" t="str">
        <v>..</v>
      </c>
      <c r="J29" s="96" t="str">
        <v>عرض</v>
      </c>
      <c r="K29" s="96" t="str">
        <v>طول</v>
      </c>
      <c r="L29" s="96" t="str">
        <v>سعر اللوح</v>
      </c>
      <c r="M29" s="96" t="str">
        <v>ملاحظات</v>
      </c>
      <c r="N29" s="96" t="str">
        <v>مساحة</v>
      </c>
      <c r="O29" s="96" t="str">
        <v>....</v>
      </c>
      <c r="P29" s="96" t="str">
        <v>مساحة على ....</v>
      </c>
      <c r="Q29" s="96"/>
    </row>
    <row r="30" spans="1:43" ht="18" x14ac:dyDescent="0.3">
      <c r="A30" s="96"/>
      <c r="B30" s="96" t="str">
        <v>مقبض</v>
      </c>
      <c r="C30" s="96">
        <v>0</v>
      </c>
      <c r="D30" s="96">
        <v>55</v>
      </c>
      <c r="E30" s="96"/>
      <c r="F30" s="96"/>
      <c r="G30" s="96"/>
      <c r="H30" s="96" t="str">
        <v xml:space="preserve">كونتر ميلامين </v>
      </c>
      <c r="I30" s="96" t="str">
        <v>18م</v>
      </c>
      <c r="J30" s="96">
        <v>2.44</v>
      </c>
      <c r="K30" s="96">
        <v>1.22</v>
      </c>
      <c r="L30" s="96">
        <v>1200</v>
      </c>
      <c r="M30" s="96">
        <v>0</v>
      </c>
      <c r="N30" s="96">
        <v>2.9767999999999999</v>
      </c>
      <c r="O30" s="96">
        <v>1.1000000000000001</v>
      </c>
      <c r="P30" s="96">
        <v>0.36952432141897346</v>
      </c>
      <c r="Q30" s="96"/>
    </row>
    <row r="31" spans="1:43" ht="18" x14ac:dyDescent="0.3">
      <c r="A31" s="96"/>
      <c r="B31" s="96" t="str">
        <v>مجرى درج</v>
      </c>
      <c r="C31" s="96">
        <v>0</v>
      </c>
      <c r="D31" s="96">
        <v>200</v>
      </c>
      <c r="E31" s="96"/>
      <c r="F31" s="96"/>
      <c r="G31" s="96"/>
      <c r="H31" s="96" t="str">
        <v>كونتر ميلامين ساندويتش</v>
      </c>
      <c r="I31" s="96" t="str">
        <v>18م</v>
      </c>
      <c r="J31" s="96">
        <v>2.44</v>
      </c>
      <c r="K31" s="96">
        <v>1.22</v>
      </c>
      <c r="L31" s="96">
        <v>1350</v>
      </c>
      <c r="M31" s="96">
        <v>0</v>
      </c>
      <c r="N31" s="96">
        <v>2.9767999999999999</v>
      </c>
      <c r="O31" s="96">
        <v>1.1000000000000001</v>
      </c>
      <c r="P31" s="96">
        <v>0.36952432141897346</v>
      </c>
      <c r="Q31" s="96"/>
    </row>
    <row r="32" spans="1:43" ht="18" x14ac:dyDescent="0.3">
      <c r="A32" s="96"/>
      <c r="B32" s="96" t="str">
        <v>شريط pvc لامع</v>
      </c>
      <c r="C32" s="96" t="str">
        <v>م ط</v>
      </c>
      <c r="D32" s="96">
        <v>12</v>
      </c>
      <c r="E32" s="96"/>
      <c r="F32" s="96"/>
      <c r="G32" s="96"/>
      <c r="H32" s="96" t="str">
        <v>كونتر الجسم HPL أبيض</v>
      </c>
      <c r="I32" s="96" t="str">
        <v>18م</v>
      </c>
      <c r="J32" s="96">
        <v>2.44</v>
      </c>
      <c r="K32" s="96">
        <v>1.22</v>
      </c>
      <c r="L32" s="96">
        <v>2050</v>
      </c>
      <c r="M32" s="96">
        <v>0</v>
      </c>
      <c r="N32" s="96">
        <v>2.9767999999999999</v>
      </c>
      <c r="O32" s="96">
        <v>1.1000000000000001</v>
      </c>
      <c r="P32" s="96">
        <v>0.36952432141897346</v>
      </c>
      <c r="Q32" s="96"/>
    </row>
    <row r="33" spans="1:17" ht="18" x14ac:dyDescent="0.3">
      <c r="A33" s="96"/>
      <c r="B33" s="96" t="str">
        <v>شريط pvc</v>
      </c>
      <c r="C33" s="96" t="str">
        <v>م ط</v>
      </c>
      <c r="D33" s="96">
        <v>12</v>
      </c>
      <c r="E33" s="96"/>
      <c r="F33" s="96"/>
      <c r="G33" s="96"/>
      <c r="H33" s="96" t="str">
        <v xml:space="preserve">ظهر </v>
      </c>
      <c r="I33" s="96" t="str">
        <v>5م</v>
      </c>
      <c r="J33" s="96">
        <v>2.44</v>
      </c>
      <c r="K33" s="96">
        <v>1.22</v>
      </c>
      <c r="L33" s="96">
        <v>480</v>
      </c>
      <c r="M33" s="96">
        <v>0</v>
      </c>
      <c r="N33" s="96">
        <v>2.9767999999999999</v>
      </c>
      <c r="O33" s="96">
        <v>1.1000000000000001</v>
      </c>
      <c r="P33" s="96">
        <v>0.36952432141897346</v>
      </c>
      <c r="Q33" s="96"/>
    </row>
    <row r="34" spans="1:17" ht="18" x14ac:dyDescent="0.3">
      <c r="A34" s="96"/>
      <c r="B34" s="96" t="str">
        <v>ارجل</v>
      </c>
      <c r="C34" s="96">
        <v>0</v>
      </c>
      <c r="D34" s="96">
        <v>30</v>
      </c>
      <c r="E34" s="96"/>
      <c r="F34" s="96"/>
      <c r="G34" s="96"/>
      <c r="H34" s="96">
        <v>0</v>
      </c>
      <c r="I34" s="96">
        <v>0</v>
      </c>
      <c r="J34" s="96">
        <v>0</v>
      </c>
      <c r="K34" s="96">
        <v>0</v>
      </c>
      <c r="L34" s="96">
        <v>0</v>
      </c>
      <c r="M34" s="96">
        <v>0</v>
      </c>
      <c r="N34" s="96">
        <v>0</v>
      </c>
      <c r="O34" s="96">
        <v>0</v>
      </c>
      <c r="P34" s="96">
        <v>0</v>
      </c>
      <c r="Q34" s="96"/>
    </row>
    <row r="35" spans="1:17" ht="18" x14ac:dyDescent="0.3">
      <c r="A35" s="96"/>
      <c r="B35" s="96"/>
      <c r="C35" s="96"/>
      <c r="D35" s="96"/>
      <c r="E35" s="96"/>
      <c r="F35" s="96"/>
      <c r="G35" s="96"/>
      <c r="H35" s="96" t="str">
        <v xml:space="preserve"> مطبخ كونتر HPL</v>
      </c>
      <c r="I35" s="96" t="str">
        <v>18م</v>
      </c>
      <c r="J35" s="96">
        <v>2.44</v>
      </c>
      <c r="K35" s="96">
        <v>1.22</v>
      </c>
      <c r="L35" s="96">
        <v>2650</v>
      </c>
      <c r="M35" s="96">
        <v>0</v>
      </c>
      <c r="N35" s="96">
        <v>2.9767999999999999</v>
      </c>
      <c r="O35" s="96">
        <v>1.1000000000000001</v>
      </c>
      <c r="P35" s="96">
        <v>0.36952432141897346</v>
      </c>
      <c r="Q35" s="96"/>
    </row>
    <row r="36" spans="1:17" ht="18" x14ac:dyDescent="0.3">
      <c r="A36" s="96"/>
      <c r="B36" s="96"/>
      <c r="C36" s="96"/>
      <c r="D36" s="96"/>
      <c r="E36" s="96"/>
      <c r="F36" s="96"/>
      <c r="G36" s="96"/>
      <c r="H36" s="96" t="str">
        <v>مطبخ  PVC</v>
      </c>
      <c r="I36" s="96" t="str">
        <v>18م</v>
      </c>
      <c r="J36" s="96">
        <v>2.8</v>
      </c>
      <c r="K36" s="96">
        <v>1.22</v>
      </c>
      <c r="L36" s="96">
        <v>3000</v>
      </c>
      <c r="M36" s="96">
        <v>0</v>
      </c>
      <c r="N36" s="96">
        <v>3.4159999999999999</v>
      </c>
      <c r="O36" s="96">
        <v>1.1000000000000001</v>
      </c>
      <c r="P36" s="96">
        <v>0.32201405152224827</v>
      </c>
      <c r="Q36" s="96"/>
    </row>
    <row r="37" spans="1:17" ht="18" x14ac:dyDescent="0.3">
      <c r="A37" s="96"/>
      <c r="B37" s="96"/>
      <c r="C37" s="96"/>
      <c r="D37" s="96"/>
      <c r="E37" s="96"/>
      <c r="F37" s="96"/>
      <c r="G37" s="96"/>
      <c r="H37" s="96" t="str">
        <v>مطبخ Polylac تركى</v>
      </c>
      <c r="I37" s="96" t="str">
        <v>18م</v>
      </c>
      <c r="J37" s="96">
        <v>2.8</v>
      </c>
      <c r="K37" s="96">
        <v>1.22</v>
      </c>
      <c r="L37" s="96">
        <v>7000</v>
      </c>
      <c r="M37" s="96">
        <v>0</v>
      </c>
      <c r="N37" s="96">
        <v>3.4159999999999999</v>
      </c>
      <c r="O37" s="96">
        <v>1.1000000000000001</v>
      </c>
      <c r="P37" s="96">
        <v>0.32201405152224827</v>
      </c>
      <c r="Q37" s="96"/>
    </row>
    <row r="38" spans="1:17" ht="18" x14ac:dyDescent="0.3">
      <c r="A38" s="96"/>
      <c r="B38" s="96"/>
      <c r="C38" s="96"/>
      <c r="D38" s="96"/>
      <c r="E38" s="96"/>
      <c r="F38" s="96"/>
      <c r="G38" s="96"/>
      <c r="H38" s="96" t="str">
        <v>مطبخ Polylac هندى</v>
      </c>
      <c r="I38" s="96" t="str">
        <v>18م</v>
      </c>
      <c r="J38" s="96">
        <v>2.8</v>
      </c>
      <c r="K38" s="96">
        <v>1.22</v>
      </c>
      <c r="L38" s="96">
        <v>6300</v>
      </c>
      <c r="M38" s="96">
        <v>0</v>
      </c>
      <c r="N38" s="96">
        <v>3.4159999999999999</v>
      </c>
      <c r="O38" s="96">
        <v>1.1000000000000001</v>
      </c>
      <c r="P38" s="96">
        <v>0.32201405152224827</v>
      </c>
      <c r="Q38" s="96"/>
    </row>
    <row r="39" spans="1:17" ht="18" x14ac:dyDescent="0.3">
      <c r="A39" s="96"/>
      <c r="B39" s="96"/>
      <c r="C39" s="96"/>
      <c r="D39" s="96"/>
      <c r="E39" s="96"/>
      <c r="F39" s="96"/>
      <c r="G39" s="96"/>
      <c r="H39" s="96" t="str">
        <v>مطبخ Polylac ديجيتال</v>
      </c>
      <c r="I39" s="96" t="str">
        <v>18م</v>
      </c>
      <c r="J39" s="96">
        <v>2.8</v>
      </c>
      <c r="K39" s="96">
        <v>1.22</v>
      </c>
      <c r="L39" s="96">
        <v>6300</v>
      </c>
      <c r="M39" s="96">
        <v>0</v>
      </c>
      <c r="N39" s="96">
        <v>3.4159999999999999</v>
      </c>
      <c r="O39" s="96">
        <v>1.1000000000000001</v>
      </c>
      <c r="P39" s="96">
        <v>0.32201405152224827</v>
      </c>
      <c r="Q39" s="96"/>
    </row>
    <row r="40" spans="1:17" ht="18" x14ac:dyDescent="0.3">
      <c r="A40" s="96"/>
      <c r="B40" s="96"/>
      <c r="C40" s="96"/>
      <c r="D40" s="96"/>
      <c r="E40" s="96"/>
      <c r="F40" s="96"/>
      <c r="G40" s="96"/>
      <c r="H40" s="96" t="str">
        <v>مطبخ UV Lac</v>
      </c>
      <c r="I40" s="96" t="str">
        <v>18م</v>
      </c>
      <c r="J40" s="96">
        <v>2.8</v>
      </c>
      <c r="K40" s="96">
        <v>2.1</v>
      </c>
      <c r="L40" s="96">
        <v>5800</v>
      </c>
      <c r="M40" s="96">
        <v>0</v>
      </c>
      <c r="N40" s="96">
        <v>5.88</v>
      </c>
      <c r="O40" s="96">
        <v>1.1000000000000001</v>
      </c>
      <c r="P40" s="96">
        <v>0.1870748299319728</v>
      </c>
      <c r="Q40" s="96"/>
    </row>
    <row r="41" spans="1:17" ht="18" x14ac:dyDescent="0.3">
      <c r="A41" s="96"/>
      <c r="B41" s="96"/>
      <c r="C41" s="96"/>
      <c r="D41" s="96"/>
      <c r="E41" s="96"/>
      <c r="F41" s="96"/>
      <c r="G41" s="96"/>
      <c r="H41" s="96" t="str">
        <v>مطبخ UV Lac 2</v>
      </c>
      <c r="I41" s="96" t="str">
        <v>18م</v>
      </c>
      <c r="J41" s="96">
        <v>2.8</v>
      </c>
      <c r="K41" s="96">
        <v>1.22</v>
      </c>
      <c r="L41" s="96">
        <v>5000</v>
      </c>
      <c r="M41" s="96">
        <v>0</v>
      </c>
      <c r="N41" s="96">
        <v>3.4159999999999999</v>
      </c>
      <c r="O41" s="96">
        <v>1.1000000000000001</v>
      </c>
      <c r="P41" s="96">
        <v>0.32201405152224827</v>
      </c>
      <c r="Q41" s="96"/>
    </row>
    <row r="42" spans="1:17" ht="18" x14ac:dyDescent="0.3">
      <c r="A42" s="96"/>
      <c r="B42" s="96"/>
      <c r="C42" s="96"/>
      <c r="D42" s="96"/>
      <c r="E42" s="96" cm="1">
        <f t="array" ref="E42">indexMaterials(H36,N29)</f>
        <v>3.4159999999999999</v>
      </c>
      <c r="F42" s="96"/>
      <c r="G42" s="96"/>
      <c r="H42" s="96" t="str">
        <v>Gloss Max</v>
      </c>
      <c r="I42" s="96" t="str">
        <v>18م</v>
      </c>
      <c r="J42" s="96">
        <v>2.8</v>
      </c>
      <c r="K42" s="96">
        <v>2.1</v>
      </c>
      <c r="L42" s="96">
        <v>7250</v>
      </c>
      <c r="M42" s="96">
        <v>0</v>
      </c>
      <c r="N42" s="96">
        <v>5.88</v>
      </c>
      <c r="O42" s="96">
        <v>1.1000000000000001</v>
      </c>
      <c r="P42" s="96">
        <v>0.1870748299319728</v>
      </c>
      <c r="Q42" s="96"/>
    </row>
    <row r="43" spans="1:17" ht="18" x14ac:dyDescent="0.3">
      <c r="A43" s="96"/>
      <c r="B43" s="96"/>
      <c r="C43" s="96"/>
      <c r="D43" s="96"/>
      <c r="E43" s="96"/>
      <c r="F43" s="96"/>
      <c r="G43" s="96"/>
      <c r="H43" s="96" t="str">
        <v>Pet Ply</v>
      </c>
      <c r="I43" s="96" t="str">
        <v>18م</v>
      </c>
      <c r="J43" s="96">
        <v>2.8</v>
      </c>
      <c r="K43" s="96">
        <v>1.22</v>
      </c>
      <c r="L43" s="96">
        <v>3900</v>
      </c>
      <c r="M43" s="96">
        <v>0</v>
      </c>
      <c r="N43" s="96">
        <v>3.4159999999999999</v>
      </c>
      <c r="O43" s="96">
        <v>1.1000000000000001</v>
      </c>
      <c r="P43" s="96">
        <v>0.32201405152224827</v>
      </c>
      <c r="Q43" s="96"/>
    </row>
    <row r="44" spans="1:17" ht="18" x14ac:dyDescent="0.3">
      <c r="A44" s="96"/>
      <c r="B44" s="96"/>
      <c r="C44" s="96"/>
      <c r="D44" s="96"/>
      <c r="E44" s="96"/>
      <c r="F44" s="96"/>
      <c r="G44" s="96"/>
      <c r="H44" s="96" t="str">
        <v>Poly Plus</v>
      </c>
      <c r="I44" s="96" t="str">
        <v>18م</v>
      </c>
      <c r="J44" s="96">
        <v>2.8</v>
      </c>
      <c r="K44" s="96">
        <v>1.22</v>
      </c>
      <c r="L44" s="96">
        <v>5600</v>
      </c>
      <c r="M44" s="96">
        <v>0</v>
      </c>
      <c r="N44" s="96">
        <v>3.4159999999999999</v>
      </c>
      <c r="O44" s="96">
        <v>1.1000000000000001</v>
      </c>
      <c r="P44" s="96">
        <v>0.32201405152224827</v>
      </c>
      <c r="Q44" s="96"/>
    </row>
    <row r="45" spans="1:17" ht="18" x14ac:dyDescent="0.3">
      <c r="A45" s="96"/>
      <c r="B45" s="96"/>
      <c r="C45" s="96"/>
      <c r="D45" s="96"/>
      <c r="E45" s="96"/>
      <c r="F45" s="96"/>
      <c r="G45" s="96"/>
      <c r="H45" s="96" t="str">
        <v>Poly Back</v>
      </c>
      <c r="I45" s="96" t="str">
        <v>18م</v>
      </c>
      <c r="J45" s="96">
        <v>2.44</v>
      </c>
      <c r="K45" s="96">
        <v>1.22</v>
      </c>
      <c r="L45" s="96">
        <v>6800</v>
      </c>
      <c r="M45" s="96">
        <v>0</v>
      </c>
      <c r="N45" s="96">
        <v>2.9767999999999999</v>
      </c>
      <c r="O45" s="96">
        <v>1.1000000000000001</v>
      </c>
      <c r="P45" s="96">
        <v>0.36952432141897346</v>
      </c>
      <c r="Q45" s="96"/>
    </row>
    <row r="46" spans="1:17" ht="18" x14ac:dyDescent="0.3">
      <c r="A46" s="96"/>
      <c r="B46" s="96"/>
      <c r="C46" s="96"/>
      <c r="D46" s="96"/>
      <c r="E46" s="96"/>
      <c r="F46" s="96"/>
      <c r="G46" s="96"/>
      <c r="H46" s="96" t="str">
        <v>Poly Back</v>
      </c>
      <c r="I46" s="96" t="str">
        <v>18م</v>
      </c>
      <c r="J46" s="96">
        <v>2.44</v>
      </c>
      <c r="K46" s="96">
        <v>1.22</v>
      </c>
      <c r="L46" s="96">
        <v>6200</v>
      </c>
      <c r="M46" s="96">
        <v>0</v>
      </c>
      <c r="N46" s="96">
        <v>2.9767999999999999</v>
      </c>
      <c r="O46" s="96">
        <v>1.1000000000000001</v>
      </c>
      <c r="P46" s="96">
        <v>0.36952432141897346</v>
      </c>
      <c r="Q46" s="96"/>
    </row>
    <row r="47" spans="1:17" ht="18" x14ac:dyDescent="0.3">
      <c r="A47" s="96"/>
      <c r="B47" s="96"/>
      <c r="C47" s="96"/>
      <c r="D47" s="96"/>
      <c r="E47" s="96"/>
      <c r="F47" s="96"/>
      <c r="G47" s="96"/>
      <c r="H47" s="96">
        <v>0</v>
      </c>
      <c r="I47" s="96">
        <v>0</v>
      </c>
      <c r="J47" s="96">
        <v>0</v>
      </c>
      <c r="K47" s="96">
        <v>0</v>
      </c>
      <c r="L47" s="96">
        <v>0</v>
      </c>
      <c r="M47" s="96">
        <v>0</v>
      </c>
      <c r="N47" s="96">
        <v>0</v>
      </c>
      <c r="O47" s="96">
        <v>0</v>
      </c>
      <c r="P47" s="96">
        <v>0</v>
      </c>
      <c r="Q47" s="96"/>
    </row>
    <row r="48" spans="1:17" ht="18" x14ac:dyDescent="0.3">
      <c r="A48" s="96"/>
      <c r="B48" s="96"/>
      <c r="C48" s="96"/>
      <c r="D48" s="96"/>
      <c r="E48" s="96"/>
      <c r="F48" s="96"/>
      <c r="G48" s="96"/>
      <c r="H48" s="96">
        <v>0</v>
      </c>
      <c r="I48" s="96">
        <v>0</v>
      </c>
      <c r="J48" s="96">
        <v>0</v>
      </c>
      <c r="K48" s="96">
        <v>0</v>
      </c>
      <c r="L48" s="96">
        <v>0</v>
      </c>
      <c r="M48" s="96">
        <v>0</v>
      </c>
      <c r="N48" s="96">
        <v>0</v>
      </c>
      <c r="O48" s="96">
        <v>0</v>
      </c>
      <c r="P48" s="96">
        <v>0</v>
      </c>
      <c r="Q48" s="96"/>
    </row>
    <row r="49" spans="1:17" ht="18" x14ac:dyDescent="0.3">
      <c r="A49" s="96"/>
      <c r="B49" s="96"/>
      <c r="C49" s="96"/>
      <c r="D49" s="96"/>
      <c r="E49" s="96"/>
      <c r="F49" s="96"/>
      <c r="G49" s="96"/>
      <c r="H49" s="96" t="str">
        <v>مطبخ أكلريك</v>
      </c>
      <c r="I49" s="96" t="str">
        <v>18م</v>
      </c>
      <c r="J49" s="96">
        <v>2.8</v>
      </c>
      <c r="K49" s="96">
        <v>1.22</v>
      </c>
      <c r="L49" s="96">
        <v>4500</v>
      </c>
      <c r="M49" s="96">
        <v>0</v>
      </c>
      <c r="N49" s="96">
        <v>3.4159999999999999</v>
      </c>
      <c r="O49" s="96">
        <v>1.1000000000000001</v>
      </c>
      <c r="P49" s="96">
        <v>0.32201405152224827</v>
      </c>
      <c r="Q49" s="96"/>
    </row>
    <row r="50" spans="1:17" ht="18" x14ac:dyDescent="0.3">
      <c r="A50" s="96"/>
      <c r="B50" s="96"/>
      <c r="C50" s="96"/>
      <c r="D50" s="96"/>
      <c r="E50" s="96"/>
      <c r="F50" s="96"/>
      <c r="G50" s="96"/>
      <c r="H50" s="96" t="str">
        <v>دلفة موسكى</v>
      </c>
      <c r="I50" s="96">
        <v>0</v>
      </c>
      <c r="J50" s="96">
        <v>0</v>
      </c>
      <c r="K50" s="96">
        <v>0</v>
      </c>
      <c r="L50" s="96">
        <v>350</v>
      </c>
      <c r="M50" s="96" t="str">
        <v>دلفة</v>
      </c>
      <c r="N50" s="96">
        <v>0</v>
      </c>
      <c r="O50" s="96">
        <v>0</v>
      </c>
      <c r="P50" s="96">
        <v>0</v>
      </c>
      <c r="Q50" s="96"/>
    </row>
    <row r="51" spans="1:17" ht="18" x14ac:dyDescent="0.3">
      <c r="A51" s="96"/>
      <c r="B51" s="96"/>
      <c r="C51" s="96"/>
      <c r="D51" s="96"/>
      <c r="E51" s="96"/>
      <c r="F51" s="96"/>
      <c r="G51" s="96"/>
      <c r="H51" s="96" t="str">
        <v>دلفة ارو</v>
      </c>
      <c r="I51" s="96">
        <v>0</v>
      </c>
      <c r="J51" s="96">
        <v>0</v>
      </c>
      <c r="K51" s="96">
        <v>0</v>
      </c>
      <c r="L51" s="96">
        <v>1200</v>
      </c>
      <c r="M51" s="96" t="str">
        <v>دلفة</v>
      </c>
      <c r="N51" s="96">
        <v>0</v>
      </c>
      <c r="O51" s="96">
        <v>0</v>
      </c>
      <c r="P51" s="96">
        <v>0</v>
      </c>
      <c r="Q51" s="96"/>
    </row>
    <row r="52" spans="1:17" ht="18" x14ac:dyDescent="0.3">
      <c r="A52" s="96"/>
      <c r="B52" s="96"/>
      <c r="C52" s="96"/>
      <c r="D52" s="96"/>
      <c r="E52" s="96"/>
      <c r="F52" s="96"/>
      <c r="G52" s="96"/>
      <c r="H52" s="96" t="str">
        <v>دهان دوكو</v>
      </c>
      <c r="I52" s="96">
        <v>0</v>
      </c>
      <c r="J52" s="96">
        <v>0</v>
      </c>
      <c r="K52" s="96">
        <v>0</v>
      </c>
      <c r="L52" s="96">
        <v>800</v>
      </c>
      <c r="M52" s="96" t="str">
        <v>م2</v>
      </c>
      <c r="N52" s="96">
        <v>0</v>
      </c>
      <c r="O52" s="96">
        <v>0</v>
      </c>
      <c r="P52" s="96">
        <v>0</v>
      </c>
      <c r="Q52" s="96"/>
    </row>
    <row r="53" spans="1:17" ht="18" x14ac:dyDescent="0.3">
      <c r="A53" s="96"/>
      <c r="B53" s="96"/>
      <c r="C53" s="96"/>
      <c r="D53" s="96"/>
      <c r="E53" s="96"/>
      <c r="F53" s="96"/>
      <c r="G53" s="96"/>
      <c r="H53" s="96" t="str">
        <v>دلف زجاج</v>
      </c>
      <c r="I53" s="96">
        <v>0</v>
      </c>
      <c r="J53" s="96">
        <v>0</v>
      </c>
      <c r="K53" s="96">
        <v>0</v>
      </c>
      <c r="L53" s="96">
        <v>3500</v>
      </c>
      <c r="M53" s="96" t="str">
        <v>م2</v>
      </c>
      <c r="N53" s="96">
        <v>0</v>
      </c>
      <c r="O53" s="96">
        <v>0</v>
      </c>
      <c r="P53" s="96">
        <v>0</v>
      </c>
      <c r="Q53" s="96"/>
    </row>
    <row r="54" spans="1:17" ht="18" x14ac:dyDescent="0.3">
      <c r="A54" s="96"/>
      <c r="B54" s="96"/>
      <c r="C54" s="96"/>
      <c r="D54" s="96"/>
      <c r="E54" s="96"/>
      <c r="F54" s="96"/>
      <c r="G54" s="96"/>
      <c r="H54" s="96">
        <v>0</v>
      </c>
      <c r="I54" s="96">
        <v>0</v>
      </c>
      <c r="J54" s="96">
        <v>0</v>
      </c>
      <c r="K54" s="96">
        <v>0</v>
      </c>
      <c r="L54" s="96">
        <v>0</v>
      </c>
      <c r="M54" s="96">
        <v>0</v>
      </c>
      <c r="N54" s="96">
        <v>0</v>
      </c>
      <c r="O54" s="96">
        <v>0</v>
      </c>
      <c r="P54" s="96">
        <v>0</v>
      </c>
      <c r="Q54" s="96"/>
    </row>
    <row r="55" spans="1:17" ht="18" x14ac:dyDescent="0.3">
      <c r="A55" s="96"/>
      <c r="B55" s="96"/>
      <c r="C55" s="96"/>
      <c r="D55" s="96"/>
      <c r="E55" s="96"/>
      <c r="F55" s="96"/>
      <c r="G55" s="96"/>
      <c r="H55" s="96" t="str">
        <v>كلادز</v>
      </c>
      <c r="I55" s="96">
        <v>0</v>
      </c>
      <c r="J55" s="96">
        <v>2.8</v>
      </c>
      <c r="K55" s="96">
        <v>0.14000000000000001</v>
      </c>
      <c r="L55" s="96">
        <v>450</v>
      </c>
      <c r="M55" s="96">
        <v>0</v>
      </c>
      <c r="N55" s="96">
        <v>0.39200000000000002</v>
      </c>
      <c r="O55" s="96">
        <v>1.3</v>
      </c>
      <c r="P55" s="96">
        <v>3.3163265306122449</v>
      </c>
      <c r="Q55" s="96"/>
    </row>
    <row r="56" spans="1:17" ht="18" x14ac:dyDescent="0.3">
      <c r="A56" s="96"/>
      <c r="B56" s="96"/>
      <c r="C56" s="96"/>
      <c r="D56" s="96"/>
      <c r="E56" s="96"/>
      <c r="F56" s="96"/>
      <c r="G56" s="96"/>
      <c r="H56" s="96">
        <v>0</v>
      </c>
      <c r="I56" s="96">
        <v>0</v>
      </c>
      <c r="J56" s="96">
        <v>0</v>
      </c>
      <c r="K56" s="96">
        <v>0</v>
      </c>
      <c r="L56" s="96">
        <v>0</v>
      </c>
      <c r="M56" s="96">
        <v>0</v>
      </c>
      <c r="N56" s="96">
        <v>0</v>
      </c>
      <c r="O56" s="96">
        <v>0</v>
      </c>
      <c r="P56" s="96">
        <v>0</v>
      </c>
      <c r="Q56" s="96"/>
    </row>
    <row r="57" spans="1:17" ht="18" x14ac:dyDescent="0.3">
      <c r="A57" s="96"/>
      <c r="B57" s="96"/>
      <c r="C57" s="96"/>
      <c r="D57" s="96"/>
      <c r="E57" s="96"/>
      <c r="F57" s="96"/>
      <c r="G57" s="96"/>
      <c r="H57" s="96" t="str">
        <v>PVC FOAM BOARD</v>
      </c>
      <c r="I57" s="96">
        <v>0</v>
      </c>
      <c r="J57" s="96">
        <v>0</v>
      </c>
      <c r="K57" s="96">
        <v>0</v>
      </c>
      <c r="L57" s="96">
        <v>0</v>
      </c>
      <c r="M57" s="96">
        <v>0</v>
      </c>
      <c r="N57" s="96">
        <v>0</v>
      </c>
      <c r="O57" s="96">
        <v>0</v>
      </c>
      <c r="P57" s="96">
        <v>0</v>
      </c>
      <c r="Q57" s="96"/>
    </row>
    <row r="58" spans="1:17" ht="18" x14ac:dyDescent="0.3">
      <c r="A58" s="96"/>
      <c r="B58" s="96"/>
      <c r="C58" s="96"/>
      <c r="D58" s="96"/>
      <c r="E58" s="96"/>
      <c r="F58" s="96"/>
      <c r="G58" s="96"/>
      <c r="H58" s="96" t="str">
        <v>UNI BOARD</v>
      </c>
      <c r="I58" s="96">
        <v>0</v>
      </c>
      <c r="J58" s="96">
        <v>0</v>
      </c>
      <c r="K58" s="96">
        <v>0</v>
      </c>
      <c r="L58" s="96">
        <v>0</v>
      </c>
      <c r="M58" s="96">
        <v>0</v>
      </c>
      <c r="N58" s="96">
        <v>0</v>
      </c>
      <c r="O58" s="96">
        <v>0</v>
      </c>
      <c r="P58" s="96">
        <v>0</v>
      </c>
      <c r="Q58" s="96"/>
    </row>
    <row r="59" spans="1:17" ht="18" x14ac:dyDescent="0.3">
      <c r="A59" s="96"/>
      <c r="B59" s="96"/>
      <c r="C59" s="96"/>
      <c r="D59" s="96"/>
      <c r="E59" s="96"/>
      <c r="F59" s="96"/>
      <c r="G59" s="96"/>
      <c r="H59" s="96" t="str">
        <v>فوم بورد 4.5</v>
      </c>
      <c r="I59" s="96">
        <v>4.5</v>
      </c>
      <c r="J59" s="96">
        <v>2.44</v>
      </c>
      <c r="K59" s="96">
        <v>1.22</v>
      </c>
      <c r="L59" s="96">
        <v>800</v>
      </c>
      <c r="M59" s="96">
        <v>0</v>
      </c>
      <c r="N59" s="96">
        <v>2.9767999999999999</v>
      </c>
      <c r="O59" s="96">
        <v>1.1000000000000001</v>
      </c>
      <c r="P59" s="96">
        <v>0.36952432141897346</v>
      </c>
      <c r="Q59" s="96"/>
    </row>
    <row r="60" spans="1:17" ht="18" x14ac:dyDescent="0.3">
      <c r="A60" s="96"/>
      <c r="B60" s="96"/>
      <c r="C60" s="96"/>
      <c r="D60" s="96"/>
      <c r="E60" s="96"/>
      <c r="F60" s="96"/>
      <c r="G60" s="96"/>
      <c r="H60" s="96" t="str">
        <v>فوم بورد 8م</v>
      </c>
      <c r="I60" s="96" t="str">
        <v>8م</v>
      </c>
      <c r="J60" s="96">
        <v>2.44</v>
      </c>
      <c r="K60" s="96">
        <v>1.22</v>
      </c>
      <c r="L60" s="96">
        <v>1250</v>
      </c>
      <c r="M60" s="96">
        <v>0</v>
      </c>
      <c r="N60" s="96">
        <v>2.9767999999999999</v>
      </c>
      <c r="O60" s="96">
        <v>1.1000000000000001</v>
      </c>
      <c r="P60" s="96">
        <v>0.36952432141897346</v>
      </c>
      <c r="Q60" s="96"/>
    </row>
    <row r="61" spans="1:17" ht="18" x14ac:dyDescent="0.3">
      <c r="A61" s="96"/>
      <c r="B61" s="96"/>
      <c r="C61" s="96"/>
      <c r="D61" s="96"/>
      <c r="E61" s="96"/>
      <c r="F61" s="96"/>
      <c r="G61" s="96"/>
      <c r="H61" s="96" t="str">
        <v>فوم بورد 12م</v>
      </c>
      <c r="I61" s="96" t="str">
        <v>12م</v>
      </c>
      <c r="J61" s="96">
        <v>2.44</v>
      </c>
      <c r="K61" s="96">
        <v>1.22</v>
      </c>
      <c r="L61" s="96">
        <v>2050</v>
      </c>
      <c r="M61" s="96">
        <v>0</v>
      </c>
      <c r="N61" s="96">
        <v>2.9767999999999999</v>
      </c>
      <c r="O61" s="96">
        <v>1.1000000000000001</v>
      </c>
      <c r="P61" s="96">
        <v>0.36952432141897346</v>
      </c>
      <c r="Q61" s="96"/>
    </row>
    <row r="62" spans="1:17" ht="18" x14ac:dyDescent="0.3">
      <c r="A62" s="96"/>
      <c r="B62" s="96"/>
      <c r="C62" s="96"/>
      <c r="D62" s="96"/>
      <c r="E62" s="96"/>
      <c r="F62" s="96"/>
      <c r="G62" s="96"/>
      <c r="H62" s="96" t="str">
        <v>فوم بورد 18م</v>
      </c>
      <c r="I62" s="96" t="str">
        <v>18م</v>
      </c>
      <c r="J62" s="96">
        <v>2.44</v>
      </c>
      <c r="K62" s="96">
        <v>1.22</v>
      </c>
      <c r="L62" s="96">
        <v>2500</v>
      </c>
      <c r="M62" s="96">
        <v>0</v>
      </c>
      <c r="N62" s="96">
        <v>2.9767999999999999</v>
      </c>
      <c r="O62" s="96">
        <v>1.1000000000000001</v>
      </c>
      <c r="P62" s="96">
        <v>0.36952432141897346</v>
      </c>
      <c r="Q62" s="96"/>
    </row>
    <row r="63" spans="1:17" ht="18" x14ac:dyDescent="0.3">
      <c r="A63" s="96"/>
      <c r="B63" s="96"/>
      <c r="C63" s="96"/>
      <c r="D63" s="96"/>
      <c r="E63" s="96"/>
      <c r="F63" s="96"/>
      <c r="G63" s="96"/>
      <c r="H63" s="96">
        <v>0</v>
      </c>
      <c r="I63" s="96">
        <v>0</v>
      </c>
      <c r="J63" s="96">
        <v>0</v>
      </c>
      <c r="K63" s="96">
        <v>0</v>
      </c>
      <c r="L63" s="96">
        <v>0</v>
      </c>
      <c r="M63" s="96">
        <v>0</v>
      </c>
      <c r="N63" s="96">
        <v>0</v>
      </c>
      <c r="O63" s="96">
        <v>0</v>
      </c>
      <c r="P63" s="96">
        <v>0</v>
      </c>
      <c r="Q63" s="96"/>
    </row>
    <row r="64" spans="1:17" ht="18" x14ac:dyDescent="0.3">
      <c r="A64" s="96"/>
      <c r="B64" s="96"/>
      <c r="C64" s="96"/>
      <c r="D64" s="96"/>
      <c r="E64" s="96"/>
      <c r="F64" s="96"/>
      <c r="G64" s="96"/>
      <c r="H64" s="96" t="str">
        <v>AQUA -  PVC</v>
      </c>
      <c r="I64" s="96" t="str">
        <v>18م</v>
      </c>
      <c r="J64" s="96">
        <v>2.44</v>
      </c>
      <c r="K64" s="96">
        <v>1.22</v>
      </c>
      <c r="L64" s="96">
        <v>3150</v>
      </c>
      <c r="M64" s="96">
        <v>0</v>
      </c>
      <c r="N64" s="96">
        <v>2.9767999999999999</v>
      </c>
      <c r="O64" s="96">
        <v>1.1000000000000001</v>
      </c>
      <c r="P64" s="96">
        <v>0.36952432141897346</v>
      </c>
      <c r="Q64" s="96"/>
    </row>
    <row r="65" spans="1:17" ht="18" x14ac:dyDescent="0.3">
      <c r="A65" s="96"/>
      <c r="B65" s="96"/>
      <c r="C65" s="96"/>
      <c r="D65" s="96"/>
      <c r="E65" s="96"/>
      <c r="F65" s="96"/>
      <c r="G65" s="96"/>
      <c r="H65" s="96" t="str">
        <v xml:space="preserve">AQUA -  PVCرخامى </v>
      </c>
      <c r="I65" s="96" t="str">
        <v>18م</v>
      </c>
      <c r="J65" s="96">
        <v>2.44</v>
      </c>
      <c r="K65" s="96">
        <v>1.22</v>
      </c>
      <c r="L65" s="96">
        <v>3500</v>
      </c>
      <c r="M65" s="96">
        <v>0</v>
      </c>
      <c r="N65" s="96">
        <v>2.9767999999999999</v>
      </c>
      <c r="O65" s="96">
        <v>1.1000000000000001</v>
      </c>
      <c r="P65" s="96">
        <v>0.36952432141897346</v>
      </c>
      <c r="Q65" s="96"/>
    </row>
    <row r="66" spans="1:17" ht="18" x14ac:dyDescent="0.3">
      <c r="A66" s="96"/>
      <c r="B66" s="96"/>
      <c r="C66" s="96"/>
      <c r="D66" s="96"/>
      <c r="E66" s="96"/>
      <c r="F66" s="96"/>
      <c r="G66" s="96"/>
      <c r="H66" s="96">
        <v>0</v>
      </c>
      <c r="I66" s="96">
        <v>0</v>
      </c>
      <c r="J66" s="96">
        <v>0</v>
      </c>
      <c r="K66" s="96">
        <v>0</v>
      </c>
      <c r="L66" s="96">
        <v>0</v>
      </c>
      <c r="M66" s="96">
        <v>0</v>
      </c>
      <c r="N66" s="96">
        <v>0</v>
      </c>
      <c r="O66" s="96">
        <v>0</v>
      </c>
      <c r="P66" s="96">
        <v>0</v>
      </c>
      <c r="Q66" s="96"/>
    </row>
    <row r="67" spans="1:17" ht="18" x14ac:dyDescent="0.3">
      <c r="A67" s="96"/>
      <c r="B67" s="96"/>
      <c r="C67" s="96"/>
      <c r="D67" s="96"/>
      <c r="E67" s="96"/>
      <c r="F67" s="96"/>
      <c r="G67" s="96"/>
      <c r="H67" s="96" t="str">
        <v>AQUA -PET-  PVC</v>
      </c>
      <c r="I67" s="96" t="str">
        <v>18م</v>
      </c>
      <c r="J67" s="96">
        <v>2.44</v>
      </c>
      <c r="K67" s="96">
        <v>1.22</v>
      </c>
      <c r="L67" s="96">
        <v>3550</v>
      </c>
      <c r="M67" s="96">
        <v>0</v>
      </c>
      <c r="N67" s="96">
        <v>2.9767999999999999</v>
      </c>
      <c r="O67" s="96">
        <v>1.1000000000000001</v>
      </c>
      <c r="P67" s="96">
        <v>0.36952432141897346</v>
      </c>
      <c r="Q67" s="96"/>
    </row>
    <row r="68" spans="1:17" ht="18" x14ac:dyDescent="0.3">
      <c r="A68" s="96"/>
      <c r="B68" s="96"/>
      <c r="C68" s="96"/>
      <c r="D68" s="96"/>
      <c r="E68" s="96"/>
      <c r="F68" s="96"/>
      <c r="G68" s="96"/>
      <c r="H68" s="96">
        <v>0</v>
      </c>
      <c r="I68" s="96">
        <v>0</v>
      </c>
      <c r="J68" s="96">
        <v>0</v>
      </c>
      <c r="K68" s="96">
        <v>0</v>
      </c>
      <c r="L68" s="96">
        <v>0</v>
      </c>
      <c r="M68" s="96">
        <v>0</v>
      </c>
      <c r="N68" s="96">
        <v>0</v>
      </c>
      <c r="O68" s="96">
        <v>0</v>
      </c>
      <c r="P68" s="96">
        <v>0</v>
      </c>
      <c r="Q68" s="96"/>
    </row>
    <row r="69" spans="1:17" ht="18" x14ac:dyDescent="0.3">
      <c r="A69" s="96"/>
      <c r="B69" s="96"/>
      <c r="C69" s="96"/>
      <c r="D69" s="96"/>
      <c r="E69" s="96"/>
      <c r="F69" s="96"/>
      <c r="G69" s="96"/>
      <c r="H69" s="96" t="str">
        <v>POLY PRINT</v>
      </c>
      <c r="I69" s="96">
        <v>0</v>
      </c>
      <c r="J69" s="96">
        <v>0</v>
      </c>
      <c r="K69" s="96">
        <v>0</v>
      </c>
      <c r="L69" s="96">
        <v>0</v>
      </c>
      <c r="M69" s="96">
        <v>0</v>
      </c>
      <c r="N69" s="96">
        <v>0</v>
      </c>
      <c r="O69" s="96">
        <v>0</v>
      </c>
      <c r="P69" s="96">
        <v>0</v>
      </c>
      <c r="Q69" s="96"/>
    </row>
    <row r="70" spans="1:17" ht="18" x14ac:dyDescent="0.3">
      <c r="A70" s="96"/>
      <c r="B70" s="96"/>
      <c r="C70" s="96"/>
      <c r="D70" s="96"/>
      <c r="E70" s="96"/>
      <c r="F70" s="96"/>
      <c r="G70" s="96"/>
      <c r="H70" s="96" t="str">
        <v>POLY PRINT لامع</v>
      </c>
      <c r="I70" s="96" t="str">
        <v>18م</v>
      </c>
      <c r="J70" s="96">
        <v>2.44</v>
      </c>
      <c r="K70" s="96">
        <v>1.22</v>
      </c>
      <c r="L70" s="96">
        <v>2900</v>
      </c>
      <c r="M70" s="96">
        <v>0</v>
      </c>
      <c r="N70" s="96">
        <v>2.9767999999999999</v>
      </c>
      <c r="O70" s="96">
        <v>1.1000000000000001</v>
      </c>
      <c r="P70" s="96">
        <v>0.36952432141897346</v>
      </c>
      <c r="Q70" s="96"/>
    </row>
    <row r="71" spans="1:17" ht="18" x14ac:dyDescent="0.3">
      <c r="A71" s="96"/>
      <c r="B71" s="96"/>
      <c r="C71" s="96"/>
      <c r="D71" s="96"/>
      <c r="E71" s="96"/>
      <c r="F71" s="96"/>
      <c r="G71" s="96"/>
      <c r="H71" s="96" t="str">
        <v>POLY PRINT مط</v>
      </c>
      <c r="I71" s="96" t="str">
        <v>18م</v>
      </c>
      <c r="J71" s="96">
        <v>2.44</v>
      </c>
      <c r="K71" s="96">
        <v>1.22</v>
      </c>
      <c r="L71" s="96">
        <v>2900</v>
      </c>
      <c r="M71" s="96">
        <v>0</v>
      </c>
      <c r="N71" s="96">
        <v>2.9767999999999999</v>
      </c>
      <c r="O71" s="96">
        <v>1.1000000000000001</v>
      </c>
      <c r="P71" s="96">
        <v>0.36952432141897346</v>
      </c>
      <c r="Q71" s="96"/>
    </row>
    <row r="72" spans="1:17" ht="18" x14ac:dyDescent="0.3">
      <c r="A72" s="96"/>
      <c r="B72" s="96"/>
      <c r="C72" s="96"/>
      <c r="D72" s="96"/>
      <c r="E72" s="96"/>
      <c r="F72" s="96"/>
      <c r="G72" s="96"/>
      <c r="H72" s="96" t="str">
        <v xml:space="preserve">POLY PRINT لامع  رخامى </v>
      </c>
      <c r="I72" s="96" t="str">
        <v>18م</v>
      </c>
      <c r="J72" s="96">
        <v>2.44</v>
      </c>
      <c r="K72" s="96">
        <v>1.22</v>
      </c>
      <c r="L72" s="96">
        <v>3000</v>
      </c>
      <c r="M72" s="96">
        <v>0</v>
      </c>
      <c r="N72" s="96">
        <v>2.9767999999999999</v>
      </c>
      <c r="O72" s="96">
        <v>1.1000000000000001</v>
      </c>
      <c r="P72" s="96">
        <v>0.36952432141897346</v>
      </c>
      <c r="Q72" s="96"/>
    </row>
    <row r="73" spans="1:17" ht="18" x14ac:dyDescent="0.3">
      <c r="A73" s="96"/>
      <c r="B73" s="96"/>
      <c r="C73" s="96"/>
      <c r="D73" s="96"/>
      <c r="E73" s="96"/>
      <c r="F73" s="96"/>
      <c r="G73" s="96"/>
      <c r="H73" s="96" t="str">
        <v xml:space="preserve">POLY PRINT مط  رخامى </v>
      </c>
      <c r="I73" s="96" t="str">
        <v>18م</v>
      </c>
      <c r="J73" s="96">
        <v>2.44</v>
      </c>
      <c r="K73" s="96">
        <v>1.22</v>
      </c>
      <c r="L73" s="96">
        <v>3000</v>
      </c>
      <c r="M73" s="96">
        <v>0</v>
      </c>
      <c r="N73" s="96">
        <v>2.9767999999999999</v>
      </c>
      <c r="O73" s="96">
        <v>1.1000000000000001</v>
      </c>
      <c r="P73" s="96">
        <v>0.36952432141897346</v>
      </c>
      <c r="Q73" s="96"/>
    </row>
    <row r="74" spans="1:17" ht="18" x14ac:dyDescent="0.3">
      <c r="A74" s="96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</row>
    <row r="75" spans="1:17" ht="18" x14ac:dyDescent="0.3">
      <c r="A75" s="96"/>
      <c r="B75" s="96"/>
      <c r="C75" s="96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6"/>
      <c r="Q75" s="96"/>
    </row>
    <row r="76" spans="1:17" ht="18" x14ac:dyDescent="0.3">
      <c r="A76" s="96"/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</row>
    <row r="77" spans="1:17" ht="18" x14ac:dyDescent="0.3">
      <c r="A77" s="96"/>
      <c r="B77" s="96"/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</row>
    <row r="78" spans="1:17" ht="18" x14ac:dyDescent="0.3">
      <c r="A78" s="96"/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</row>
    <row r="79" spans="1:17" ht="18" x14ac:dyDescent="0.3">
      <c r="A79" s="96"/>
      <c r="B79" s="96"/>
      <c r="C79" s="96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6"/>
      <c r="Q79" s="96"/>
    </row>
    <row r="80" spans="1:17" ht="18" x14ac:dyDescent="0.3">
      <c r="A80" s="96"/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</row>
    <row r="81" spans="1:17" ht="18" x14ac:dyDescent="0.3">
      <c r="A81" s="96"/>
      <c r="B81" s="96"/>
      <c r="C81" s="96"/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</row>
    <row r="82" spans="1:17" ht="18" x14ac:dyDescent="0.3">
      <c r="A82" s="96"/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6"/>
      <c r="O82" s="96"/>
      <c r="P82" s="96"/>
      <c r="Q82" s="96"/>
    </row>
    <row r="83" spans="1:17" ht="18" x14ac:dyDescent="0.3">
      <c r="A83" s="96"/>
      <c r="B83" s="96"/>
      <c r="C83" s="96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6"/>
      <c r="Q83" s="96"/>
    </row>
    <row r="84" spans="1:17" ht="18" x14ac:dyDescent="0.3">
      <c r="A84" s="96"/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  <c r="Q84" s="96"/>
    </row>
    <row r="85" spans="1:17" ht="18" x14ac:dyDescent="0.3">
      <c r="A85" s="96"/>
      <c r="B85" s="96"/>
      <c r="C85" s="96"/>
      <c r="D85" s="96"/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</row>
    <row r="86" spans="1:17" ht="18" x14ac:dyDescent="0.3">
      <c r="A86" s="96"/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</row>
  </sheetData>
  <mergeCells count="24">
    <mergeCell ref="AB3:AB4"/>
    <mergeCell ref="A1:AJ1"/>
    <mergeCell ref="AC2:AE2"/>
    <mergeCell ref="AF2:AH2"/>
    <mergeCell ref="A3:A4"/>
    <mergeCell ref="B3:B4"/>
    <mergeCell ref="C3:D3"/>
    <mergeCell ref="E3:G3"/>
    <mergeCell ref="H3:I3"/>
    <mergeCell ref="J3:L3"/>
    <mergeCell ref="M3:O3"/>
    <mergeCell ref="P3:R3"/>
    <mergeCell ref="S3:U3"/>
    <mergeCell ref="V3:V4"/>
    <mergeCell ref="W3:Y3"/>
    <mergeCell ref="Z3:AA3"/>
    <mergeCell ref="AI3:AI4"/>
    <mergeCell ref="AJ3:AJ4"/>
    <mergeCell ref="AC3:AC4"/>
    <mergeCell ref="AD3:AD4"/>
    <mergeCell ref="AE3:AE4"/>
    <mergeCell ref="AF3:AF4"/>
    <mergeCell ref="AG3:AG4"/>
    <mergeCell ref="AH3:AH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إعدادات</vt:lpstr>
      <vt:lpstr>مطابخ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Rafat Wael Rezk Sagid Aldagen</dc:creator>
  <cp:lastModifiedBy>Rafat Wael Rezk Sagid Aldagen</cp:lastModifiedBy>
  <dcterms:created xsi:type="dcterms:W3CDTF">2024-10-01T19:05:04Z</dcterms:created>
  <dcterms:modified xsi:type="dcterms:W3CDTF">2024-10-07T15:17:56Z</dcterms:modified>
</cp:coreProperties>
</file>